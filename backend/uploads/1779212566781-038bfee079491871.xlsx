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Clients" sheetId="1" r:id="rId1"/>
    <sheet name="Tim Cooper" sheetId="2" r:id="rId2"/>
    <sheet name="Nitin vashisht" sheetId="3" r:id="rId3"/>
    <sheet name="Melvyn  Gilbert" sheetId="4" r:id="rId4"/>
    <sheet name="Tanu Sopori" sheetId="5" r:id="rId5"/>
    <sheet name="PANNKAJ  SINGLLA" sheetId="6" r:id="rId6"/>
    <sheet name="Tara Petering" sheetId="7" r:id="rId7"/>
    <sheet name="Robert  Krachler" sheetId="8" r:id="rId8"/>
    <sheet name="TOP  Internal" sheetId="9" r:id="rId9"/>
    <sheet name="Richard Howen" sheetId="10" r:id="rId10"/>
    <sheet name="Rowan Ellery" sheetId="11" r:id="rId11"/>
    <sheet name="John  Shingleton" sheetId="12" r:id="rId12"/>
    <sheet name="Arthiga  Sasiharan" sheetId="13" r:id="rId13"/>
    <sheet name="Mili Aggarwal" sheetId="14" r:id="rId14"/>
    <sheet name="Garth Krasisnski" sheetId="15" r:id="rId15"/>
    <sheet name="Wade Dowden" sheetId="16" r:id="rId16"/>
    <sheet name="Jaycob  Moriarty" sheetId="17" r:id="rId17"/>
    <sheet name="Harpal Singh" sheetId="18" r:id="rId18"/>
    <sheet name="Rao  Damaraju" sheetId="19" r:id="rId19"/>
    <sheet name="Glenn Beall" sheetId="20" r:id="rId20"/>
    <sheet name="Vijitha Rachankumar" sheetId="21" r:id="rId21"/>
    <sheet name="Jan  de Bruto" sheetId="22" r:id="rId22"/>
    <sheet name="TOP IT Team" sheetId="23" r:id="rId23"/>
    <sheet name="Tamika Jones" sheetId="24" r:id="rId24"/>
    <sheet name="Michael Bellsini" sheetId="25" r:id="rId25"/>
    <sheet name="Martin  Watson" sheetId="26" r:id="rId26"/>
    <sheet name="Ann Toomey" sheetId="27" r:id="rId27"/>
    <sheet name="Grant  Meyer" sheetId="28" r:id="rId28"/>
    <sheet name="Michael  Fingereth" sheetId="29" r:id="rId29"/>
    <sheet name="TOP  Job By Job" sheetId="30" r:id="rId30"/>
    <sheet name="Katie Sluka" sheetId="31" r:id="rId31"/>
    <sheet name="Sian Ferraz" sheetId="32" r:id="rId32"/>
    <sheet name="Vaibhav Aggarwal" sheetId="33" r:id="rId3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  <color rgb="FBBF24"/>
    </font>
    <font>
      <sz val="11"/>
      <name val="Calibri"/>
      <b/>
      <color rgb="FBBF24"/>
    </font>
    <font>
      <sz val="11"/>
      <name val="Calibri"/>
      <b/>
      <color rgb="FBBF24"/>
    </font>
    <font>
      <sz val="11"/>
      <name val="Calibri"/>
      <b/>
      <color rgb="FBBF24"/>
    </font>
    <font>
      <sz val="11"/>
      <name val="Calibri"/>
      <u/>
      <color rgb="60A5FA"/>
    </font>
    <font>
      <sz val="10"/>
      <name val="Calibri"/>
      <i/>
      <color rgb="94D2BD"/>
    </font>
    <font>
      <sz val="10"/>
      <name val="Calibri"/>
      <i/>
      <color rgb="94D2BD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11827"/>
        <bgColor/>
      </patternFill>
    </fill>
    <fill>
      <patternFill patternType="solid">
        <fgColor rgb="FF111827"/>
        <bgColor/>
      </patternFill>
    </fill>
    <fill>
      <patternFill patternType="solid">
        <fgColor rgb="FF1E3A5F"/>
        <bgColor/>
      </patternFill>
    </fill>
    <fill>
      <patternFill patternType="solid">
        <fgColor rgb="FF1E3A5F"/>
        <bgColor/>
      </patternFill>
    </fill>
    <fill>
      <patternFill patternType="solid">
        <fgColor rgb="FF1F3A3A"/>
        <bgColor/>
      </patternFill>
    </fill>
    <fill>
      <patternFill patternType="solid">
        <fgColor rgb="FF1F3A3A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6" fillId="0" borderId="0" xfId="0" applyFont="1"/>
    <xf numFmtId="0" fontId="7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0" fillId="0" borderId="0" xfId="0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cols>
    <col min="1" max="1" width="21.83203125" customWidth="1"/>
    <col min="2" max="2" width="34.83203125" customWidth="1"/>
    <col min="3" max="3" width="42.83203125" customWidth="1"/>
    <col min="4" max="4" width="14.83203125" customWidth="1"/>
    <col min="5" max="5" width="15.83203125" customWidth="1"/>
  </cols>
  <sheetData>
    <row r="1">
      <c r="A1" s="3" t="str">
        <v>Name</v>
      </c>
      <c r="B1" s="4" t="str">
        <v>Company</v>
      </c>
      <c r="C1" s="4" t="str">
        <v>Email</v>
      </c>
      <c r="D1" s="4" t="str">
        <v>Phone</v>
      </c>
      <c r="E1" s="4" t="str">
        <v>Status</v>
      </c>
    </row>
    <row r="2">
      <c r="A2" s="2" t="str">
        <v>Nitin vashisht</v>
      </c>
      <c r="B2" s="2" t="str">
        <v>Fortuna (Maida Vale)</v>
      </c>
      <c r="C2" s="2" t="str">
        <v>nitin.vashisht@fortunaadvisors.com.au</v>
      </c>
      <c r="D2" s="2" t="str">
        <v>61893591011</v>
      </c>
      <c r="E2" s="2" t="str">
        <v>open-position</v>
      </c>
    </row>
    <row r="3">
      <c r="A3" s="2" t="str">
        <v>Melvyn  Gilbert</v>
      </c>
      <c r="B3" s="2" t="str">
        <v>Fortuna Advisory Group</v>
      </c>
      <c r="C3" s="2" t="str">
        <v>melvyn@fortunaadvisors.com.au</v>
      </c>
      <c r="D3" s="2" t="str">
        <v>616189240421</v>
      </c>
      <c r="E3" s="2" t="str">
        <v>active</v>
      </c>
    </row>
    <row r="4">
      <c r="A4" s="2" t="str">
        <v>Tanu Sopori</v>
      </c>
      <c r="B4" s="2" t="str">
        <v>Fortuna Insurance</v>
      </c>
      <c r="C4" s="2" t="str">
        <v>tanu@fortunainsurance.com.au</v>
      </c>
      <c r="D4" s="2" t="str">
        <v>610401757155</v>
      </c>
      <c r="E4" s="2" t="str">
        <v>open-position</v>
      </c>
    </row>
    <row r="5">
      <c r="A5" s="2" t="str">
        <v>PANNKAJ  SINGLLA</v>
      </c>
      <c r="B5" s="2" t="str">
        <v>DPS Accounting</v>
      </c>
      <c r="C5" s="2" t="str">
        <v>pj@singla.com.au</v>
      </c>
      <c r="D5" s="2" t="str">
        <v>616142666930</v>
      </c>
      <c r="E5" s="2" t="str">
        <v>active</v>
      </c>
    </row>
    <row r="6">
      <c r="A6" s="2" t="str">
        <v>Tara Petering</v>
      </c>
      <c r="B6" s="2" t="str">
        <v>Fortuna Advisory Group</v>
      </c>
      <c r="C6" s="2" t="str">
        <v>tara@fortunaadvisors.com.au</v>
      </c>
      <c r="D6" s="2" t="str">
        <v>616189240421</v>
      </c>
      <c r="E6" s="2" t="str">
        <v>active</v>
      </c>
    </row>
    <row r="7">
      <c r="A7" s="2" t="str">
        <v>Robert  Krachler</v>
      </c>
      <c r="B7" s="2" t="str">
        <v>Roofforce</v>
      </c>
      <c r="C7" s="2" t="str">
        <v>accounts@roofforce.com.au</v>
      </c>
      <c r="D7" s="2" t="str">
        <v>610862484556</v>
      </c>
      <c r="E7" s="2" t="str">
        <v>active</v>
      </c>
    </row>
    <row r="8">
      <c r="A8" s="2" t="str">
        <v>TOP  Internal</v>
      </c>
      <c r="B8" s="2" t="str">
        <v>The Outsource Pro</v>
      </c>
      <c r="C8" s="2" t="str">
        <v>admin@theoutsourcepro.com.au</v>
      </c>
      <c r="D8" s="2" t="str">
        <v/>
      </c>
      <c r="E8" s="2" t="str">
        <v>active</v>
      </c>
    </row>
    <row r="9">
      <c r="A9" s="2" t="str">
        <v>Richard Howen</v>
      </c>
      <c r="B9" s="2" t="str">
        <v>Midcoast Partners</v>
      </c>
      <c r="C9" s="2" t="str">
        <v>richard@midcoastpartners.com.au</v>
      </c>
      <c r="D9" s="2" t="str">
        <v>610899644942</v>
      </c>
      <c r="E9" s="2" t="str">
        <v>active</v>
      </c>
    </row>
    <row r="10">
      <c r="A10" s="2" t="str">
        <v>Rowan Ellery</v>
      </c>
      <c r="B10" s="2" t="str">
        <v>Fortuna Advisory Group</v>
      </c>
      <c r="C10" s="2" t="str">
        <v>rowan@fortunaadvisors.com.au</v>
      </c>
      <c r="D10" s="2" t="str">
        <v>61892404211</v>
      </c>
      <c r="E10" s="2" t="str">
        <v>open-position</v>
      </c>
    </row>
    <row r="11">
      <c r="A11" s="2" t="str">
        <v>John  Shingleton</v>
      </c>
      <c r="B11" s="2" t="str">
        <v>Fortuna Legal</v>
      </c>
      <c r="C11" s="2" t="str">
        <v>john@fortunaadvisors.com.au</v>
      </c>
      <c r="D11" s="2" t="str">
        <v>610405572499</v>
      </c>
      <c r="E11" s="2" t="str">
        <v>inactive</v>
      </c>
    </row>
    <row r="12">
      <c r="A12" s="2" t="str">
        <v>Arthiga  Sasiharan</v>
      </c>
      <c r="B12" s="2" t="str">
        <v>Fortuna Advisory Group</v>
      </c>
      <c r="C12" s="2" t="str">
        <v>arthiga.sasiharan@fortunaadvisors.com.au</v>
      </c>
      <c r="D12" s="2" t="str">
        <v>61893591011</v>
      </c>
      <c r="E12" s="2" t="str">
        <v>inactive</v>
      </c>
    </row>
    <row r="13">
      <c r="A13" s="2" t="str">
        <v>Mili Aggarwal</v>
      </c>
      <c r="B13" s="2" t="str">
        <v>Fortuna Wealth Management</v>
      </c>
      <c r="C13" s="2" t="str">
        <v>mili@fortunaadvisors.com.au</v>
      </c>
      <c r="D13" s="2" t="str">
        <v>61892404211</v>
      </c>
      <c r="E13" s="2" t="str">
        <v>active</v>
      </c>
    </row>
    <row r="14">
      <c r="A14" s="2" t="str">
        <v>Garth Krasisnski</v>
      </c>
      <c r="B14" s="2" t="str">
        <v>Advanced Risk Management Pty Ltd</v>
      </c>
      <c r="C14" s="2" t="str">
        <v>garth.krasinski@grangeinsurance.com.au</v>
      </c>
      <c r="D14" s="2" t="str">
        <v>610892018000</v>
      </c>
      <c r="E14" s="2" t="str">
        <v>active</v>
      </c>
    </row>
    <row r="15">
      <c r="A15" s="2" t="str">
        <v>Wade Dowden</v>
      </c>
      <c r="B15" s="2" t="str">
        <v>Fortify Insurance Broker</v>
      </c>
      <c r="C15" s="2" t="str">
        <v>wade@fortifyib.com.au</v>
      </c>
      <c r="D15" s="2" t="str">
        <v>610421257439</v>
      </c>
      <c r="E15" s="2" t="str">
        <v>open-position</v>
      </c>
    </row>
    <row r="16">
      <c r="A16" s="2" t="str">
        <v>Jaycob  Moriarty</v>
      </c>
      <c r="B16" s="2" t="str">
        <v>Grange Insurance</v>
      </c>
      <c r="C16" s="2" t="str">
        <v>jaycob.moriarty@grangeinsurance.com.au</v>
      </c>
      <c r="D16" s="2" t="str">
        <v/>
      </c>
      <c r="E16" s="2" t="str">
        <v>active</v>
      </c>
    </row>
    <row r="17">
      <c r="A17" s="2" t="str">
        <v>Harpal Singh</v>
      </c>
      <c r="B17" s="2" t="str">
        <v>Insure-Today</v>
      </c>
      <c r="C17" s="2" t="str">
        <v>harpal@insure-today.com.au</v>
      </c>
      <c r="D17" s="2" t="str">
        <v>610286310943</v>
      </c>
      <c r="E17" s="2" t="str">
        <v>inactive</v>
      </c>
    </row>
    <row r="18">
      <c r="A18" s="2" t="str">
        <v>Rao  Damaraju</v>
      </c>
      <c r="B18" s="2" t="str">
        <v>Fratelli Group</v>
      </c>
      <c r="C18" s="2" t="str">
        <v>Rao@fratellihomeswa.com.au</v>
      </c>
      <c r="D18" s="2" t="str">
        <v>610861840864</v>
      </c>
      <c r="E18" s="2" t="str">
        <v>active</v>
      </c>
    </row>
    <row r="19">
      <c r="A19" s="2" t="str">
        <v>Glenn Beall</v>
      </c>
      <c r="B19" s="2" t="str">
        <v>IQPC</v>
      </c>
      <c r="C19" s="2" t="str">
        <v>gbeall@iqpc.net.au</v>
      </c>
      <c r="D19" s="2" t="str">
        <v>611300662779</v>
      </c>
      <c r="E19" s="2" t="str">
        <v>active</v>
      </c>
    </row>
    <row r="20">
      <c r="A20" s="2" t="str">
        <v>Vijitha Rachankumar</v>
      </c>
      <c r="B20" s="2" t="str">
        <v>Fortuna Southwest</v>
      </c>
      <c r="C20" s="2" t="str">
        <v>vijitha.p@fortunaadvisors.com.au</v>
      </c>
      <c r="D20" s="2" t="str">
        <v>61895347722</v>
      </c>
      <c r="E20" s="2" t="str">
        <v>active</v>
      </c>
    </row>
    <row r="21">
      <c r="A21" s="2" t="str">
        <v>Jan  de Bruto</v>
      </c>
      <c r="B21" s="2" t="str">
        <v>DC&amp;C</v>
      </c>
      <c r="C21" s="2" t="str">
        <v>jan@dccca.com.au</v>
      </c>
      <c r="D21" s="2" t="str">
        <v>6189964480</v>
      </c>
      <c r="E21" s="2" t="str">
        <v>active</v>
      </c>
    </row>
    <row r="22">
      <c r="A22" s="2" t="str">
        <v>TOP IT Team</v>
      </c>
      <c r="B22" s="2" t="str">
        <v>The Outsource Pro</v>
      </c>
      <c r="C22" s="2" t="str">
        <v>admin@theousrourcepro.com.au</v>
      </c>
      <c r="D22" s="2" t="str">
        <v>61123456789</v>
      </c>
      <c r="E22" s="2" t="str">
        <v>active</v>
      </c>
    </row>
    <row r="23">
      <c r="A23" s="2" t="str">
        <v>Tamika Jones</v>
      </c>
      <c r="B23" s="2" t="str">
        <v>Karratha Indoor Golf</v>
      </c>
      <c r="C23" s="2" t="str">
        <v>tamika@karrathaindoorgolf.com.au</v>
      </c>
      <c r="D23" s="2" t="str">
        <v>610413918808</v>
      </c>
      <c r="E23" s="2" t="str">
        <v>inactive</v>
      </c>
    </row>
    <row r="24">
      <c r="A24" s="2" t="str">
        <v>Michael Bellsini</v>
      </c>
      <c r="B24" s="2" t="str">
        <v>M&amp;M Accounting Solutions</v>
      </c>
      <c r="C24" s="2" t="str">
        <v>michael@mmasolutions.com.au</v>
      </c>
      <c r="D24" s="2" t="str">
        <v>610894432899</v>
      </c>
      <c r="E24" s="2" t="str">
        <v>active</v>
      </c>
    </row>
    <row r="25">
      <c r="A25" s="2" t="str">
        <v>Martin  Watson</v>
      </c>
      <c r="B25" s="2" t="str">
        <v>Bellwether</v>
      </c>
      <c r="C25" s="2" t="str">
        <v>martin.watson@bellwetherfg.com.au</v>
      </c>
      <c r="D25" s="2" t="str">
        <v>610892254462</v>
      </c>
      <c r="E25" s="2" t="str">
        <v>active</v>
      </c>
    </row>
    <row r="26">
      <c r="A26" s="2" t="str">
        <v>Ann Toomey</v>
      </c>
      <c r="B26" s="2" t="str">
        <v>Fortuna TECH</v>
      </c>
      <c r="C26" s="2" t="str">
        <v>Ann@fortunatech.com.au</v>
      </c>
      <c r="D26" s="2" t="str">
        <v>610285131600</v>
      </c>
      <c r="E26" s="2" t="str">
        <v>active</v>
      </c>
    </row>
    <row r="27">
      <c r="A27" s="2" t="str">
        <v>Grant  Meyer</v>
      </c>
      <c r="B27" s="2" t="str">
        <v>Everest Business Accountants</v>
      </c>
      <c r="C27" s="2" t="str">
        <v>grant@everestba.com.au</v>
      </c>
      <c r="D27" s="2" t="str">
        <v>610410034634</v>
      </c>
      <c r="E27" s="2" t="str">
        <v>active</v>
      </c>
    </row>
    <row r="28">
      <c r="A28" s="2" t="str">
        <v>Michael  Fingereth</v>
      </c>
      <c r="B28" s="2" t="str">
        <v>Fornaro Accountants</v>
      </c>
      <c r="C28" s="2" t="str">
        <v>michael.fingereth@fornaro.com.au</v>
      </c>
      <c r="D28" s="2" t="str">
        <v>610411241927</v>
      </c>
      <c r="E28" s="2" t="str">
        <v>active</v>
      </c>
    </row>
    <row r="29">
      <c r="A29" s="2" t="str">
        <v>TOP  Job By Job</v>
      </c>
      <c r="B29" s="2" t="str">
        <v>The Outsource Pro</v>
      </c>
      <c r="C29" s="2" t="str">
        <v>admin@theoutsourcepro.com.au</v>
      </c>
      <c r="D29" s="2" t="str">
        <v>916283289832</v>
      </c>
      <c r="E29" s="2" t="str">
        <v>active</v>
      </c>
    </row>
    <row r="30">
      <c r="A30" s="2" t="str">
        <v>Katie Sluka</v>
      </c>
      <c r="B30" s="2" t="str">
        <v>DC&amp;C</v>
      </c>
      <c r="C30" s="2" t="str">
        <v>katies@dccca.com.au</v>
      </c>
      <c r="D30" s="2" t="str">
        <v>6189964480</v>
      </c>
      <c r="E30" s="2" t="str">
        <v>active</v>
      </c>
    </row>
    <row r="31">
      <c r="A31" s="2" t="str">
        <v>Tim Cooper</v>
      </c>
      <c r="B31" s="2" t="str">
        <v>Grange Insurance</v>
      </c>
      <c r="C31" s="2" t="str">
        <v>tim@grangeinsurance.com.au</v>
      </c>
      <c r="D31" s="2" t="str">
        <v>610450151800</v>
      </c>
      <c r="E31" s="2" t="str">
        <v>active</v>
      </c>
    </row>
    <row r="32">
      <c r="A32" s="2" t="str">
        <v>Sian Ferraz</v>
      </c>
      <c r="B32" s="2" t="str">
        <v>Fortuna Advisory Group</v>
      </c>
      <c r="C32" s="2" t="str">
        <v>sian@fortunaadvisors.com.au</v>
      </c>
      <c r="D32" s="2" t="str">
        <v/>
      </c>
      <c r="E32" s="2" t="str">
        <v>active</v>
      </c>
    </row>
    <row r="33">
      <c r="A33" s="2" t="str">
        <v>Vaibhav Aggarwal</v>
      </c>
      <c r="B33" s="2" t="str">
        <v>adobe</v>
      </c>
      <c r="C33" s="2" t="str">
        <v>er.vaibhavaggarwal@gmail.com</v>
      </c>
      <c r="D33" s="2" t="str">
        <v/>
      </c>
      <c r="E33" s="2" t="str">
        <v>inactive</v>
      </c>
    </row>
  </sheetData>
  <ignoredErrors>
    <ignoredError numberStoredAsText="1" sqref="A1:E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38.83203125" customWidth="1"/>
    <col min="2" max="2" width="18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5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Tim Cooper</v>
      </c>
    </row>
    <row r="4">
      <c r="B4" s="2" t="str">
        <v>Company</v>
      </c>
      <c r="C4" s="2" t="str">
        <v>Grange Insurance</v>
      </c>
    </row>
    <row r="5">
      <c r="B5" s="2" t="str">
        <v>Email</v>
      </c>
      <c r="C5" s="2" t="str">
        <v>tim@grangeinsurance.com.au</v>
      </c>
    </row>
    <row r="6">
      <c r="B6" s="2" t="str">
        <v>Phone</v>
      </c>
      <c r="C6" s="2" t="str">
        <v>610450151800</v>
      </c>
    </row>
    <row r="7">
      <c r="B7" s="2" t="str">
        <v>Status</v>
      </c>
      <c r="C7" s="2" t="str">
        <v>active</v>
      </c>
    </row>
    <row r="8">
      <c r="B8" s="2" t="str">
        <v>Division</v>
      </c>
      <c r="C8" s="2" t="str">
        <v>Taxation</v>
      </c>
    </row>
    <row r="9">
      <c r="B9" s="2" t="str">
        <v>Price Estimate</v>
      </c>
      <c r="C9" s="2" t="str">
        <v>2000-3000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Client Info Document ──</v>
      </c>
      <c r="B12" s="6" t="str">
        <v/>
      </c>
      <c r="C12" s="6" t="str">
        <v/>
      </c>
    </row>
    <row r="13">
      <c r="B13" s="2" t="str">
        <v>Info File Name</v>
      </c>
      <c r="C13" s="2" t="str">
        <v>Tim info doc.png</v>
      </c>
    </row>
    <row r="14">
      <c r="B14" s="2" t="str">
        <v>Abn Acn</v>
      </c>
      <c r="C14" s="2" t="str">
        <v xml:space="preserve"> 16 115 775 141</v>
      </c>
    </row>
    <row r="15">
      <c r="B15" s="2" t="str">
        <v>Info File U R L</v>
      </c>
      <c r="C15" s="7" t="str">
        <f>HYPERLINK("https://firebasestorage.googleapis.com/v0/b/toptrack-ad384.firebasestorage.app/o/clients%2Fz3pEx2lee4Iuz4lwgCV3%2Finfodoc%2FTim%20info%20doc.png?alt=media&amp;token=554e3b67-c333-48d4-8485-1544930a1175","Tim info doc.png")</f>
        <v>Tim info doc.png</v>
      </c>
    </row>
    <row r="16">
      <c r="B16" s="2" t="str">
        <v>Contact Person</v>
      </c>
      <c r="C16" s="2" t="str">
        <v>Tim Cooper</v>
      </c>
    </row>
    <row r="17">
      <c r="B17" s="2" t="str">
        <v/>
      </c>
      <c r="C17" s="2" t="str">
        <v/>
      </c>
    </row>
    <row r="18">
      <c r="A18" s="6" t="str">
        <v>── Positions ──</v>
      </c>
      <c r="B18" s="6" t="str">
        <v/>
      </c>
      <c r="C18" s="6" t="str">
        <v/>
      </c>
    </row>
    <row r="19">
      <c r="A19" s="8" t="str">
        <v/>
      </c>
      <c r="B19" s="9" t="str">
        <v xml:space="preserve">  [Position 1]</v>
      </c>
      <c r="C19" s="9" t="str">
        <v/>
      </c>
    </row>
    <row r="20">
      <c r="B20" s="2" t="str">
        <v xml:space="preserve">  Position</v>
      </c>
      <c r="C20" s="2" t="str">
        <v>Broker Assistant</v>
      </c>
    </row>
    <row r="21">
      <c r="B21" s="2" t="str">
        <v xml:space="preserve">  Working Hours</v>
      </c>
      <c r="C21" s="2" t="str">
        <v xml:space="preserve">6:00-2:30 </v>
      </c>
    </row>
    <row r="22">
      <c r="B22" s="2" t="str">
        <v xml:space="preserve">  Salary Range</v>
      </c>
      <c r="C22" s="2" t="str">
        <v>900000</v>
      </c>
    </row>
    <row r="23">
      <c r="B23" s="2" t="str">
        <v xml:space="preserve">  Engagement Fee</v>
      </c>
      <c r="C23" s="2" t="str">
        <v>1200</v>
      </c>
    </row>
    <row r="24">
      <c r="A24" s="9" t="str">
        <v/>
      </c>
      <c r="B24" s="9" t="str">
        <v xml:space="preserve">  [Position 2]</v>
      </c>
      <c r="C24" s="9" t="str">
        <v/>
      </c>
    </row>
    <row r="25">
      <c r="B25" s="2" t="str">
        <v xml:space="preserve">  Position</v>
      </c>
      <c r="C25" s="2" t="str">
        <v>Broker Assistant</v>
      </c>
    </row>
    <row r="26">
      <c r="B26" s="2" t="str">
        <v xml:space="preserve">  Working Hours</v>
      </c>
      <c r="C26" s="2" t="str">
        <v xml:space="preserve">6:00-2:30 </v>
      </c>
    </row>
    <row r="27">
      <c r="B27" s="2" t="str">
        <v xml:space="preserve">  Salary Range</v>
      </c>
      <c r="C27" s="2" t="str">
        <v>2500</v>
      </c>
    </row>
    <row r="28">
      <c r="B28" s="2" t="str">
        <v xml:space="preserve">  Engagement Fee</v>
      </c>
      <c r="C28" s="2" t="str">
        <v>2000</v>
      </c>
    </row>
    <row r="29">
      <c r="B29" s="2" t="str">
        <v/>
      </c>
      <c r="C29" s="2" t="str">
        <v/>
      </c>
    </row>
    <row r="30">
      <c r="A30" s="6" t="str">
        <v>── Engagement Details ──</v>
      </c>
      <c r="B30" s="6" t="str">
        <v/>
      </c>
      <c r="C30" s="6" t="str">
        <v/>
      </c>
    </row>
    <row r="31">
      <c r="B31" s="2" t="str">
        <v>Uploaded At</v>
      </c>
      <c r="C31" s="2" t="str">
        <v>2026-04-20T18:03:57.387Z</v>
      </c>
    </row>
    <row r="32">
      <c r="B32" s="2" t="str">
        <v>File Name</v>
      </c>
      <c r="C32" s="2" t="str">
        <v>Grange Insurance Solutions - TOP Engagement Letter (Tim).pdf</v>
      </c>
    </row>
    <row r="33">
      <c r="B33" s="2" t="str">
        <v>File Url</v>
      </c>
      <c r="C33" s="7" t="str">
        <f>HYPERLINK("https://firebasestorage.googleapis.com/v0/b/toptrack-ad384.firebasestorage.app/o/engagement_letters%2Fz3pEx2lee4Iuz4lwgCV3%2FGrange%20Insurance%20Solutions%20-%20TOP%20Engagement%20Letter%20(Tim).pdf?alt=media&amp;token=9614ab5c-9dde-483b-b601-5b5d74bb663c","Grange Insurance Solutions - TOP Engagement Letter (Tim).pdf")</f>
        <v>Grange Insurance Solutions - TOP Engagement Letter (Tim).pdf</v>
      </c>
    </row>
    <row r="34" xml:space="preserve">
      <c r="B34" s="2" t="str">
        <v>Files</v>
      </c>
      <c r="C34" s="10" t="str" xml:space="preserve">
        <v xml:space="preserve">Uploaded At: 2026-04-20T18:03:57.387Z
File Url: https://firebasestorage.googleapis.com/v0/b/toptrack-ad384.firebasestorage.app/o/engagement_letters%2Fz3pEx2lee4Iuz4lwgCV3%2FGrange%20Insurance%20Solutions%20-%20TOP%20Engagement%20Letter%20(Tim).pdf?alt=media&amp;token=9614ab5c-9dde-483b-b601-5b5d74bb663c
File Name: Grange Insurance Solutions - TOP Engagement Letter (Tim).pdf</v>
      </c>
    </row>
    <row r="35">
      <c r="B35" s="2" t="str">
        <v/>
      </c>
      <c r="C35" s="2" t="str">
        <v/>
      </c>
    </row>
    <row r="36">
      <c r="A36" s="6" t="str">
        <v>── Engagement Fee Invoice ──</v>
      </c>
      <c r="B36" s="6" t="str">
        <v/>
      </c>
      <c r="C36" s="6" t="str">
        <v/>
      </c>
    </row>
    <row r="37">
      <c r="B37" s="2" t="str">
        <v>Engagement Date</v>
      </c>
      <c r="C37" s="2" t="str">
        <v>2025-05-05</v>
      </c>
    </row>
    <row r="38">
      <c r="B38" s="2" t="str">
        <v>File Name</v>
      </c>
      <c r="C38" s="2" t="str">
        <v>Invoice INV-0636 (1).pdf</v>
      </c>
    </row>
    <row r="39">
      <c r="B39" s="2" t="str">
        <v>File Url</v>
      </c>
      <c r="C39" s="7" t="str">
        <f>HYPERLINK("https://firebasestorage.googleapis.com/v0/b/toptrack-ad384.firebasestorage.app/o/engagement_fee_invoices%2Fz3pEx2lee4Iuz4lwgCV3%2FInvoice%20INV-0636%20(1).pdf?alt=media&amp;token=5f4f7d81-3ccd-4500-836d-8bef9420a9cf","Invoice INV-0636 (1).pdf")</f>
        <v>Invoice INV-0636 (1).pdf</v>
      </c>
    </row>
    <row r="40">
      <c r="B40" s="2" t="str">
        <v>Uploaded At</v>
      </c>
      <c r="C40" s="2" t="str">
        <v>2026-04-27T11:34:02.282Z</v>
      </c>
    </row>
    <row r="41">
      <c r="B41" s="2" t="str">
        <v/>
      </c>
      <c r="C41" s="2" t="str">
        <v/>
      </c>
    </row>
    <row r="42">
      <c r="A42" s="6" t="str">
        <v>── Engagement Signed Letter ──</v>
      </c>
      <c r="B42" s="6" t="str">
        <v/>
      </c>
      <c r="C42" s="6" t="str">
        <v/>
      </c>
    </row>
    <row r="43">
      <c r="B43" s="2" t="str">
        <v>File Name</v>
      </c>
      <c r="C43" s="2" t="str">
        <v>Grange Insurance Solutions - TOP Engagement Letter.pdf</v>
      </c>
    </row>
    <row r="44">
      <c r="B44" s="2" t="str">
        <v>File Url</v>
      </c>
      <c r="C44" s="7" t="str">
        <f>HYPERLINK("https://firebasestorage.googleapis.com/v0/b/toptrack-ad384.firebasestorage.app/o/signed_engagement_letters%2Fz3pEx2lee4Iuz4lwgCV3%2FGrange%20Insurance%20Solutions%20-%20TOP%20Engagement%20Letter.pdf?alt=media&amp;token=4759a9b3-4c32-4084-a9dd-e5428e8206a0","Grange Insurance Solutions - TOP Engagement Letter.pdf")</f>
        <v>Grange Insurance Solutions - TOP Engagement Letter.pdf</v>
      </c>
    </row>
    <row r="45">
      <c r="B45" s="2" t="str">
        <v>Uploaded At</v>
      </c>
      <c r="C45" s="2" t="str">
        <v>2026-04-20T18:05:11.698Z</v>
      </c>
    </row>
    <row r="46">
      <c r="B46" s="2" t="str">
        <v>Invoice Paid</v>
      </c>
      <c r="C46" s="2" t="str">
        <v>Yes</v>
      </c>
    </row>
    <row r="47">
      <c r="B47" s="2" t="str">
        <v/>
      </c>
      <c r="C47" s="2" t="str">
        <v/>
      </c>
    </row>
    <row r="48">
      <c r="A48" s="6" t="str">
        <v>── Engagement Letter Verification ──</v>
      </c>
      <c r="B48" s="6" t="str">
        <v/>
      </c>
      <c r="C48" s="6" t="str">
        <v/>
      </c>
    </row>
    <row r="49">
      <c r="B49" s="2" t="str">
        <v>Engagement Sent</v>
      </c>
      <c r="C49" s="2" t="str">
        <v>Yes</v>
      </c>
    </row>
    <row r="50">
      <c r="B50" s="2" t="str">
        <v>Invoice Sent</v>
      </c>
      <c r="C50" s="2" t="str">
        <v>Yes</v>
      </c>
    </row>
    <row r="51">
      <c r="B51" s="2" t="str">
        <v/>
      </c>
      <c r="C51" s="2" t="str">
        <v/>
      </c>
    </row>
  </sheetData>
  <ignoredErrors>
    <ignoredError numberStoredAsText="1" sqref="A1:C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8.83203125" customWidth="1"/>
    <col min="2" max="2" width="18.83203125" customWidth="1"/>
    <col min="3" max="3" width="48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Nitin vashisht</v>
      </c>
    </row>
    <row r="4">
      <c r="B4" s="2" t="str">
        <v>Company</v>
      </c>
      <c r="C4" s="2" t="str">
        <v>Fortuna (Maida Vale)</v>
      </c>
    </row>
    <row r="5">
      <c r="B5" s="2" t="str">
        <v>Email</v>
      </c>
      <c r="C5" s="2" t="str">
        <v>nitin.vashisht@fortunaadvisors.com.au</v>
      </c>
    </row>
    <row r="6">
      <c r="B6" s="2" t="str">
        <v>Phone</v>
      </c>
      <c r="C6" s="2" t="str">
        <v>61893591011</v>
      </c>
    </row>
    <row r="7">
      <c r="B7" s="2" t="str">
        <v>Status</v>
      </c>
      <c r="C7" s="2" t="str">
        <v>open-position</v>
      </c>
    </row>
    <row r="8">
      <c r="B8" s="2" t="str">
        <v>Address</v>
      </c>
      <c r="C8" s="2" t="str">
        <v>Unit 1, 264 Kalamunda Road, Maida Vale WA 6057</v>
      </c>
    </row>
    <row r="9">
      <c r="B9" s="2" t="str">
        <v>Division</v>
      </c>
      <c r="C9" s="2" t="str">
        <v>Accounting</v>
      </c>
    </row>
    <row r="10">
      <c r="B10" s="2" t="str">
        <v>Price Estimate</v>
      </c>
      <c r="C10" s="2" t="str">
        <v>3400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Positions ──</v>
      </c>
      <c r="B13" s="6" t="str">
        <v/>
      </c>
      <c r="C13" s="6" t="str">
        <v/>
      </c>
    </row>
    <row r="14">
      <c r="A14" s="9" t="str">
        <v/>
      </c>
      <c r="B14" s="9" t="str">
        <v xml:space="preserve">  [Position 1]</v>
      </c>
      <c r="C14" s="9" t="str">
        <v/>
      </c>
    </row>
    <row r="15">
      <c r="B15" s="2" t="str">
        <v xml:space="preserve">  Position</v>
      </c>
      <c r="C15" s="2" t="str">
        <v>Manager- Accounts and Taxation</v>
      </c>
    </row>
    <row r="16">
      <c r="B16" s="2" t="str">
        <v xml:space="preserve">  Working Hours</v>
      </c>
      <c r="C16" s="2" t="str">
        <v>7:30 - 4:30</v>
      </c>
    </row>
    <row r="17">
      <c r="B17" s="2" t="str">
        <v xml:space="preserve">  Salary Range</v>
      </c>
      <c r="C17" s="2" t="str">
        <v>15-20 LPA</v>
      </c>
    </row>
    <row r="18">
      <c r="B18" s="2" t="str">
        <v xml:space="preserve">  Engagement Fee</v>
      </c>
      <c r="C18" s="2" t="str">
        <v>0</v>
      </c>
    </row>
    <row r="19">
      <c r="A19" s="9" t="str">
        <v/>
      </c>
      <c r="B19" s="9" t="str">
        <v xml:space="preserve">  [Position 2]</v>
      </c>
      <c r="C19" s="9" t="str">
        <v/>
      </c>
    </row>
    <row r="20">
      <c r="B20" s="2" t="str">
        <v xml:space="preserve">  Position</v>
      </c>
      <c r="C20" s="2" t="str">
        <v>Senior Accountant</v>
      </c>
    </row>
    <row r="21">
      <c r="B21" s="2" t="str">
        <v xml:space="preserve">  Working Hours</v>
      </c>
      <c r="C21" s="2" t="str">
        <v>7:30 - 4:30</v>
      </c>
    </row>
    <row r="22">
      <c r="B22" s="2" t="str">
        <v xml:space="preserve">  Salary Range</v>
      </c>
      <c r="C22" s="2" t="str">
        <v>12-15 LPA</v>
      </c>
    </row>
    <row r="23">
      <c r="B23" s="2" t="str">
        <v xml:space="preserve">  Engagement Fee</v>
      </c>
      <c r="C23" s="2" t="str">
        <v>0</v>
      </c>
    </row>
    <row r="24">
      <c r="B24" s="2" t="str">
        <v/>
      </c>
      <c r="C24" s="2" t="str">
        <v/>
      </c>
    </row>
    <row r="25">
      <c r="A25" s="6" t="str">
        <v>── Engagement Details ──</v>
      </c>
      <c r="B25" s="6" t="str">
        <v/>
      </c>
      <c r="C25" s="6" t="str">
        <v/>
      </c>
    </row>
    <row r="26">
      <c r="B26" s="2" t="str">
        <v>Status</v>
      </c>
      <c r="C26" s="2" t="str">
        <v>No data available</v>
      </c>
    </row>
    <row r="27">
      <c r="B27" s="2" t="str">
        <v/>
      </c>
      <c r="C27" s="2" t="str">
        <v/>
      </c>
    </row>
    <row r="28">
      <c r="A28" s="6" t="str">
        <v>── Engagement Fee Invoice ──</v>
      </c>
      <c r="B28" s="6" t="str">
        <v/>
      </c>
      <c r="C28" s="6" t="str">
        <v/>
      </c>
    </row>
    <row r="29">
      <c r="B29" s="2" t="str">
        <v>Status</v>
      </c>
      <c r="C29" s="2" t="str">
        <v>No data available</v>
      </c>
    </row>
    <row r="30">
      <c r="B30" s="2" t="str">
        <v/>
      </c>
      <c r="C30" s="2" t="str">
        <v/>
      </c>
    </row>
    <row r="31">
      <c r="A31" s="6" t="str">
        <v>── Engagement Signed Letter ──</v>
      </c>
      <c r="B31" s="6" t="str">
        <v/>
      </c>
      <c r="C31" s="6" t="str">
        <v/>
      </c>
    </row>
    <row r="32">
      <c r="B32" s="2" t="str">
        <v>Status</v>
      </c>
      <c r="C32" s="2" t="str">
        <v>No data available</v>
      </c>
    </row>
    <row r="33">
      <c r="B33" s="2" t="str">
        <v/>
      </c>
      <c r="C33" s="2" t="str">
        <v/>
      </c>
    </row>
    <row r="34">
      <c r="A34" s="6" t="str">
        <v>── Engagement Letter Verification ──</v>
      </c>
      <c r="B34" s="6" t="str">
        <v/>
      </c>
      <c r="C34" s="6" t="str">
        <v/>
      </c>
    </row>
    <row r="35">
      <c r="B35" s="2" t="str">
        <v>Status</v>
      </c>
      <c r="C35" s="2" t="str">
        <v>No data available</v>
      </c>
    </row>
    <row r="36">
      <c r="B36" s="2" t="str">
        <v/>
      </c>
      <c r="C36" s="2" t="str">
        <v/>
      </c>
    </row>
  </sheetData>
  <ignoredErrors>
    <ignoredError numberStoredAsText="1" sqref="A1:C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48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Melvyn  Gilbert</v>
      </c>
    </row>
    <row r="4">
      <c r="B4" s="2" t="str">
        <v>Company</v>
      </c>
      <c r="C4" s="2" t="str">
        <v>Fortuna Advisory Group</v>
      </c>
    </row>
    <row r="5">
      <c r="B5" s="2" t="str">
        <v>Email</v>
      </c>
      <c r="C5" s="2" t="str">
        <v>melvyn@fortunaadvisors.com.au</v>
      </c>
    </row>
    <row r="6">
      <c r="B6" s="2" t="str">
        <v>Phone</v>
      </c>
      <c r="C6" s="2" t="str">
        <v>616189240421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PO BOX 963, 110 Erindale Road Balcatta WA 6021</v>
      </c>
    </row>
    <row r="9">
      <c r="B9" s="2" t="str">
        <v>Division</v>
      </c>
      <c r="C9" s="2" t="str">
        <v>Bookkeeping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44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Tanu Sopori</v>
      </c>
    </row>
    <row r="4">
      <c r="B4" s="2" t="str">
        <v>Company</v>
      </c>
      <c r="C4" s="2" t="str">
        <v>Fortuna Insurance</v>
      </c>
    </row>
    <row r="5">
      <c r="B5" s="2" t="str">
        <v>Email</v>
      </c>
      <c r="C5" s="2" t="str">
        <v>tanu@fortunainsurance.com.au</v>
      </c>
    </row>
    <row r="6">
      <c r="B6" s="2" t="str">
        <v>Phone</v>
      </c>
      <c r="C6" s="2" t="str">
        <v>610401757155</v>
      </c>
    </row>
    <row r="7">
      <c r="B7" s="2" t="str">
        <v>Status</v>
      </c>
      <c r="C7" s="2" t="str">
        <v>open-position</v>
      </c>
    </row>
    <row r="8">
      <c r="B8" s="2" t="str">
        <v>Address</v>
      </c>
      <c r="C8" s="2" t="str">
        <v>Level 1, 147 Colin Street, West Perth 6005</v>
      </c>
    </row>
    <row r="9">
      <c r="B9" s="2" t="str">
        <v>Division</v>
      </c>
      <c r="C9" s="2" t="str">
        <v>Taxation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12.83203125" customWidth="1"/>
    <col min="3" max="3" width="38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PANNKAJ  SINGLLA</v>
      </c>
    </row>
    <row r="4">
      <c r="B4" s="2" t="str">
        <v>Company</v>
      </c>
      <c r="C4" s="2" t="str">
        <v>DPS Accounting</v>
      </c>
    </row>
    <row r="5">
      <c r="B5" s="2" t="str">
        <v>Email</v>
      </c>
      <c r="C5" s="2" t="str">
        <v>pj@singla.com.au</v>
      </c>
    </row>
    <row r="6">
      <c r="B6" s="2" t="str">
        <v>Phone</v>
      </c>
      <c r="C6" s="2" t="str">
        <v>616142666930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2/278 Beaufort Street, Perth WA 6000</v>
      </c>
    </row>
    <row r="9">
      <c r="B9" s="2" t="str">
        <v>Division</v>
      </c>
      <c r="C9" s="2" t="str">
        <v>Accounting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 xml:space="preserve">  Position</v>
      </c>
      <c r="C13" s="2" t="str">
        <v>Accountant</v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44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Tara Petering</v>
      </c>
    </row>
    <row r="4">
      <c r="B4" s="2" t="str">
        <v>Company</v>
      </c>
      <c r="C4" s="2" t="str">
        <v>Fortuna Advisory Group</v>
      </c>
    </row>
    <row r="5">
      <c r="B5" s="2" t="str">
        <v>Email</v>
      </c>
      <c r="C5" s="2" t="str">
        <v>tara@fortunaadvisors.com.au</v>
      </c>
    </row>
    <row r="6">
      <c r="B6" s="2" t="str">
        <v>Phone</v>
      </c>
      <c r="C6" s="2" t="str">
        <v>616189240421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Level 1, 147 Colin Street, West Perth 6005</v>
      </c>
    </row>
    <row r="9">
      <c r="B9" s="2" t="str">
        <v>Division</v>
      </c>
      <c r="C9" s="2" t="str">
        <v>Accounting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8.83203125" customWidth="1"/>
    <col min="2" max="2" width="17.83203125" customWidth="1"/>
    <col min="3" max="3" width="38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Robert  Krachler</v>
      </c>
    </row>
    <row r="4">
      <c r="B4" s="2" t="str">
        <v>Company</v>
      </c>
      <c r="C4" s="2" t="str">
        <v>Roofforce</v>
      </c>
    </row>
    <row r="5">
      <c r="B5" s="2" t="str">
        <v>Email</v>
      </c>
      <c r="C5" s="2" t="str">
        <v>accounts@roofforce.com.au</v>
      </c>
    </row>
    <row r="6">
      <c r="B6" s="2" t="str">
        <v>Phone</v>
      </c>
      <c r="C6" s="2" t="str">
        <v>610862484556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3/5 Mumford Place, Balcatta, WA 6021</v>
      </c>
    </row>
    <row r="9">
      <c r="B9" s="2" t="str">
        <v>Division</v>
      </c>
      <c r="C9" s="2" t="str">
        <v>Bookkeeping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 xml:space="preserve">  Position</v>
      </c>
      <c r="C13" s="2" t="str">
        <v>Senior Associate</v>
      </c>
    </row>
    <row r="14">
      <c r="B14" s="2" t="str">
        <v xml:space="preserve">  Working Hours</v>
      </c>
      <c r="C14" s="2" t="str">
        <v>8:30AM- 5:30PM</v>
      </c>
    </row>
    <row r="15">
      <c r="B15" s="2" t="str">
        <v xml:space="preserve">  Salary Range</v>
      </c>
      <c r="C15" s="2" t="str">
        <v>5 LPA</v>
      </c>
    </row>
    <row r="16">
      <c r="B16" s="2" t="str">
        <v/>
      </c>
      <c r="C16" s="2" t="str">
        <v/>
      </c>
    </row>
    <row r="17">
      <c r="A17" s="6" t="str">
        <v>── Engagement Details ──</v>
      </c>
      <c r="B17" s="6" t="str">
        <v/>
      </c>
      <c r="C17" s="6" t="str">
        <v/>
      </c>
    </row>
    <row r="18">
      <c r="B18" s="2" t="str">
        <v>Status</v>
      </c>
      <c r="C18" s="2" t="str">
        <v>No data available</v>
      </c>
    </row>
    <row r="19">
      <c r="B19" s="2" t="str">
        <v/>
      </c>
      <c r="C19" s="2" t="str">
        <v/>
      </c>
    </row>
    <row r="20">
      <c r="A20" s="6" t="str">
        <v>── Engagement Fee Invoice ──</v>
      </c>
      <c r="B20" s="6" t="str">
        <v/>
      </c>
      <c r="C20" s="6" t="str">
        <v/>
      </c>
    </row>
    <row r="21">
      <c r="B21" s="2" t="str">
        <v>Status</v>
      </c>
      <c r="C21" s="2" t="str">
        <v>No data available</v>
      </c>
    </row>
    <row r="22">
      <c r="B22" s="2" t="str">
        <v/>
      </c>
      <c r="C22" s="2" t="str">
        <v/>
      </c>
    </row>
    <row r="23">
      <c r="A23" s="6" t="str">
        <v>── Engagement Signed Letter ──</v>
      </c>
      <c r="B23" s="6" t="str">
        <v/>
      </c>
      <c r="C23" s="6" t="str">
        <v/>
      </c>
    </row>
    <row r="24">
      <c r="B24" s="2" t="str">
        <v>Status</v>
      </c>
      <c r="C24" s="2" t="str">
        <v>No data available</v>
      </c>
    </row>
    <row r="25">
      <c r="B25" s="2" t="str">
        <v/>
      </c>
      <c r="C25" s="2" t="str">
        <v/>
      </c>
    </row>
    <row r="26">
      <c r="A26" s="6" t="str">
        <v>── Engagement Letter Verification ──</v>
      </c>
      <c r="B26" s="6" t="str">
        <v/>
      </c>
      <c r="C26" s="6" t="str">
        <v/>
      </c>
    </row>
    <row r="27">
      <c r="B27" s="2" t="str">
        <v>Status</v>
      </c>
      <c r="C27" s="2" t="str">
        <v>No data available</v>
      </c>
    </row>
    <row r="28">
      <c r="B28" s="2" t="str">
        <v/>
      </c>
      <c r="C28" s="2" t="str">
        <v/>
      </c>
    </row>
  </sheetData>
  <ignoredErrors>
    <ignoredError numberStoredAsText="1" sqref="A1:C2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TOP  Internal</v>
      </c>
    </row>
    <row r="4">
      <c r="B4" s="2" t="str">
        <v>Company</v>
      </c>
      <c r="C4" s="2" t="str">
        <v>The Outsource Pro</v>
      </c>
    </row>
    <row r="5">
      <c r="B5" s="2" t="str">
        <v>Email</v>
      </c>
      <c r="C5" s="2" t="str">
        <v>admin@theoutsourcepro.com.au</v>
      </c>
    </row>
    <row r="6">
      <c r="B6" s="2" t="str">
        <v>Phone</v>
      </c>
      <c r="C6" s="2" t="str">
        <v/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Indiqube Alpha, 3rd Floor, A Wing, Marathahalli Panathur Junction, Plot No.19/4 27, Outer Ring Rd, Kadubeesanahalli, Panathur, Bengaluru, Karnataka 560103</v>
      </c>
    </row>
    <row r="9">
      <c r="B9" s="2" t="str">
        <v>Division</v>
      </c>
      <c r="C9" s="2" t="str">
        <v>Accounting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cols>
    <col min="1" max="1" width="38.83203125" customWidth="1"/>
    <col min="2" max="2" width="17.83203125" customWidth="1"/>
    <col min="3" max="3" width="47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Richard Howen</v>
      </c>
    </row>
    <row r="4">
      <c r="B4" s="2" t="str">
        <v>Company</v>
      </c>
      <c r="C4" s="2" t="str">
        <v>Midcoast Partners</v>
      </c>
    </row>
    <row r="5">
      <c r="B5" s="2" t="str">
        <v>Email</v>
      </c>
      <c r="C5" s="2" t="str">
        <v>richard@midcoastpartners.com.au</v>
      </c>
    </row>
    <row r="6">
      <c r="B6" s="2" t="str">
        <v>Phone</v>
      </c>
      <c r="C6" s="2" t="str">
        <v>610899644942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Suite 12, 21 Roydhouse St | Subiaco WA | 6008</v>
      </c>
    </row>
    <row r="9">
      <c r="B9" s="2" t="str">
        <v>Division</v>
      </c>
      <c r="C9" s="2" t="str">
        <v>Bookkeeping</v>
      </c>
    </row>
    <row r="10">
      <c r="B10" s="2" t="str">
        <v>Price Estimate</v>
      </c>
      <c r="C10" s="2" t="str">
        <v>3500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Positions ──</v>
      </c>
      <c r="B13" s="6" t="str">
        <v/>
      </c>
      <c r="C13" s="6" t="str">
        <v/>
      </c>
    </row>
    <row r="14">
      <c r="A14" s="9" t="str">
        <v/>
      </c>
      <c r="B14" s="9" t="str">
        <v xml:space="preserve">  [Position 1]</v>
      </c>
      <c r="C14" s="9" t="str">
        <v/>
      </c>
    </row>
    <row r="15">
      <c r="B15" s="2" t="str">
        <v xml:space="preserve">  Position</v>
      </c>
      <c r="C15" s="2" t="str">
        <v>Team Lead</v>
      </c>
    </row>
    <row r="16">
      <c r="B16" s="2" t="str">
        <v xml:space="preserve">  Working Hours</v>
      </c>
      <c r="C16" s="2" t="str">
        <v>8:30AM- 5:30PM</v>
      </c>
    </row>
    <row r="17">
      <c r="A17" s="9" t="str">
        <v/>
      </c>
      <c r="B17" s="9" t="str">
        <v xml:space="preserve">  [Position 2]</v>
      </c>
      <c r="C17" s="9" t="str">
        <v/>
      </c>
    </row>
    <row r="18">
      <c r="B18" s="2" t="str">
        <v xml:space="preserve">  Position</v>
      </c>
      <c r="C18" s="2" t="str">
        <v>Accountant</v>
      </c>
    </row>
    <row r="19">
      <c r="B19" s="2" t="str">
        <v xml:space="preserve">  Working Hours</v>
      </c>
      <c r="C19" s="2" t="str">
        <v>8:30 AM- 5:30 PM</v>
      </c>
    </row>
    <row r="20">
      <c r="B20" s="2" t="str">
        <v xml:space="preserve">  Salary Range</v>
      </c>
      <c r="C20" s="2" t="str">
        <v>3500</v>
      </c>
    </row>
    <row r="21">
      <c r="B21" s="2" t="str">
        <v/>
      </c>
      <c r="C21" s="2" t="str">
        <v/>
      </c>
    </row>
    <row r="22">
      <c r="A22" s="6" t="str">
        <v>── Engagement Details ──</v>
      </c>
      <c r="B22" s="6" t="str">
        <v/>
      </c>
      <c r="C22" s="6" t="str">
        <v/>
      </c>
    </row>
    <row r="23">
      <c r="B23" s="2" t="str">
        <v>Status</v>
      </c>
      <c r="C23" s="2" t="str">
        <v>No data available</v>
      </c>
    </row>
    <row r="24">
      <c r="B24" s="2" t="str">
        <v/>
      </c>
      <c r="C24" s="2" t="str">
        <v/>
      </c>
    </row>
    <row r="25">
      <c r="A25" s="6" t="str">
        <v>── Engagement Fee Invoice ──</v>
      </c>
      <c r="B25" s="6" t="str">
        <v/>
      </c>
      <c r="C25" s="6" t="str">
        <v/>
      </c>
    </row>
    <row r="26">
      <c r="B26" s="2" t="str">
        <v>Status</v>
      </c>
      <c r="C26" s="2" t="str">
        <v>No data available</v>
      </c>
    </row>
    <row r="27">
      <c r="B27" s="2" t="str">
        <v/>
      </c>
      <c r="C27" s="2" t="str">
        <v/>
      </c>
    </row>
    <row r="28">
      <c r="A28" s="6" t="str">
        <v>── Engagement Signed Letter ──</v>
      </c>
      <c r="B28" s="6" t="str">
        <v/>
      </c>
      <c r="C28" s="6" t="str">
        <v/>
      </c>
    </row>
    <row r="29">
      <c r="B29" s="2" t="str">
        <v>Status</v>
      </c>
      <c r="C29" s="2" t="str">
        <v>No data available</v>
      </c>
    </row>
    <row r="30">
      <c r="B30" s="2" t="str">
        <v/>
      </c>
      <c r="C30" s="2" t="str">
        <v/>
      </c>
    </row>
    <row r="31">
      <c r="A31" s="6" t="str">
        <v>── Engagement Letter Verification ──</v>
      </c>
      <c r="B31" s="6" t="str">
        <v/>
      </c>
      <c r="C31" s="6" t="str">
        <v/>
      </c>
    </row>
    <row r="32">
      <c r="B32" s="2" t="str">
        <v>Status</v>
      </c>
      <c r="C32" s="2" t="str">
        <v>No data available</v>
      </c>
    </row>
    <row r="33">
      <c r="B33" s="2" t="str">
        <v/>
      </c>
      <c r="C33" s="2" t="str">
        <v/>
      </c>
    </row>
  </sheetData>
  <ignoredErrors>
    <ignoredError numberStoredAsText="1" sqref="A1:C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8.83203125" customWidth="1"/>
    <col min="2" max="2" width="17.83203125" customWidth="1"/>
    <col min="3" max="3" width="44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Rowan Ellery</v>
      </c>
    </row>
    <row r="4">
      <c r="B4" s="2" t="str">
        <v>Company</v>
      </c>
      <c r="C4" s="2" t="str">
        <v>Fortuna Advisory Group</v>
      </c>
    </row>
    <row r="5">
      <c r="B5" s="2" t="str">
        <v>Email</v>
      </c>
      <c r="C5" s="2" t="str">
        <v>rowan@fortunaadvisors.com.au</v>
      </c>
    </row>
    <row r="6">
      <c r="B6" s="2" t="str">
        <v>Phone</v>
      </c>
      <c r="C6" s="2" t="str">
        <v>61892404211</v>
      </c>
    </row>
    <row r="7">
      <c r="B7" s="2" t="str">
        <v>Status</v>
      </c>
      <c r="C7" s="2" t="str">
        <v>open-position</v>
      </c>
    </row>
    <row r="8">
      <c r="B8" s="2" t="str">
        <v>Address</v>
      </c>
      <c r="C8" s="2" t="str">
        <v>Level 1, 147 Colin Street, West Perth 6005</v>
      </c>
    </row>
    <row r="9">
      <c r="B9" s="2" t="str">
        <v>Division</v>
      </c>
      <c r="C9" s="2" t="str">
        <v>Accounting</v>
      </c>
    </row>
    <row r="10">
      <c r="B10" s="2" t="str">
        <v>Price Estimate</v>
      </c>
      <c r="C10" s="2" t="str">
        <v>3500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Positions ──</v>
      </c>
      <c r="B13" s="6" t="str">
        <v/>
      </c>
      <c r="C13" s="6" t="str">
        <v/>
      </c>
    </row>
    <row r="14">
      <c r="B14" s="2" t="str">
        <v xml:space="preserve">  Position</v>
      </c>
      <c r="C14" s="2" t="str">
        <v>Senior Accountant</v>
      </c>
    </row>
    <row r="15">
      <c r="B15" s="2" t="str">
        <v xml:space="preserve">  Working Hours</v>
      </c>
      <c r="C15" s="2" t="str">
        <v>7:30 - 4:30</v>
      </c>
    </row>
    <row r="16">
      <c r="B16" s="2" t="str">
        <v xml:space="preserve">  Salary Range</v>
      </c>
      <c r="C16" s="2" t="str">
        <v>12-15 LPA</v>
      </c>
    </row>
    <row r="17">
      <c r="B17" s="2" t="str">
        <v/>
      </c>
      <c r="C17" s="2" t="str">
        <v/>
      </c>
    </row>
    <row r="18">
      <c r="A18" s="6" t="str">
        <v>── Engagement Details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Fee Invoice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Signed Letter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  <row r="27">
      <c r="A27" s="6" t="str">
        <v>── Engagement Letter Verification ──</v>
      </c>
      <c r="B27" s="6" t="str">
        <v/>
      </c>
      <c r="C27" s="6" t="str">
        <v/>
      </c>
    </row>
    <row r="28">
      <c r="B28" s="2" t="str">
        <v>Status</v>
      </c>
      <c r="C28" s="2" t="str">
        <v>No data available</v>
      </c>
    </row>
    <row r="29">
      <c r="B29" s="2" t="str">
        <v/>
      </c>
      <c r="C29" s="2" t="str">
        <v/>
      </c>
    </row>
  </sheetData>
  <ignoredErrors>
    <ignoredError numberStoredAsText="1" sqref="A1:C2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8.83203125" customWidth="1"/>
    <col min="2" max="2" width="18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John  Shingleton</v>
      </c>
    </row>
    <row r="4">
      <c r="B4" s="2" t="str">
        <v>Company</v>
      </c>
      <c r="C4" s="2" t="str">
        <v>Fortuna Legal</v>
      </c>
    </row>
    <row r="5">
      <c r="B5" s="2" t="str">
        <v>Email</v>
      </c>
      <c r="C5" s="2" t="str">
        <v>john@fortunaadvisors.com.au</v>
      </c>
    </row>
    <row r="6">
      <c r="B6" s="2" t="str">
        <v>Phone</v>
      </c>
      <c r="C6" s="2" t="str">
        <v>610405572499</v>
      </c>
    </row>
    <row r="7">
      <c r="B7" s="2" t="str">
        <v>Status</v>
      </c>
      <c r="C7" s="2" t="str">
        <v>inactive</v>
      </c>
    </row>
    <row r="8">
      <c r="B8" s="2" t="str">
        <v>Address</v>
      </c>
      <c r="C8" s="2" t="str">
        <v>Suite 1.02, 110 Erindale Rd Balcatta, WA 6021</v>
      </c>
    </row>
    <row r="9">
      <c r="B9" s="2" t="str">
        <v>Division</v>
      </c>
      <c r="C9" s="2" t="str">
        <v>Legal Support</v>
      </c>
    </row>
    <row r="10">
      <c r="B10" s="2" t="str">
        <v>Price Estimate</v>
      </c>
      <c r="C10" s="2" t="str">
        <v>2000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Client Info Document ──</v>
      </c>
      <c r="B13" s="6" t="str">
        <v/>
      </c>
      <c r="C13" s="6" t="str">
        <v/>
      </c>
    </row>
    <row r="14">
      <c r="B14" s="2" t="str">
        <v>Info File Name</v>
      </c>
      <c r="C14" s="2" t="str">
        <v>Client Info Doc.docx</v>
      </c>
    </row>
    <row r="15">
      <c r="B15" s="2" t="str">
        <v>Info File U R L</v>
      </c>
      <c r="C15" s="7" t="str">
        <f>HYPERLINK("https://firebasestorage.googleapis.com/v0/b/toptrack-ad384.firebasestorage.app/o/clients%2FSjui6okfmwhmITBzga7S%2Finfodoc%2FClient%20Info%20Doc.docx?alt=media&amp;token=f7282a27-6e1d-4034-b854-2ba0b66144c6","Client Info Doc.docx")</f>
        <v>Client Info Doc.docx</v>
      </c>
    </row>
    <row r="16">
      <c r="B16" s="2" t="str">
        <v>Abn Acn</v>
      </c>
      <c r="C16" s="2" t="str">
        <v>33640094076</v>
      </c>
    </row>
    <row r="17">
      <c r="B17" s="2" t="str">
        <v>Contact Person</v>
      </c>
      <c r="C17" s="2" t="str">
        <v>John</v>
      </c>
    </row>
    <row r="18">
      <c r="B18" s="2" t="str">
        <v/>
      </c>
      <c r="C18" s="2" t="str">
        <v/>
      </c>
    </row>
    <row r="19">
      <c r="A19" s="6" t="str">
        <v>── Positions ──</v>
      </c>
      <c r="B19" s="6" t="str">
        <v/>
      </c>
      <c r="C19" s="6" t="str">
        <v/>
      </c>
    </row>
    <row r="20">
      <c r="B20" s="2" t="str">
        <v xml:space="preserve">  Position</v>
      </c>
      <c r="C20" s="2" t="str">
        <v>Associate- Legal</v>
      </c>
    </row>
    <row r="21">
      <c r="B21" s="2" t="str">
        <v xml:space="preserve">  Working Hours</v>
      </c>
      <c r="C21" s="2" t="str">
        <v>8:30 AM- 5:30 PM</v>
      </c>
    </row>
    <row r="22">
      <c r="B22" s="2" t="str">
        <v xml:space="preserve">  Salary Range</v>
      </c>
      <c r="C22" s="2" t="str">
        <v>600000</v>
      </c>
    </row>
    <row r="23">
      <c r="B23" s="2" t="str">
        <v xml:space="preserve">  Engagement Fee</v>
      </c>
      <c r="C23" s="2" t="str">
        <v>0</v>
      </c>
    </row>
    <row r="24">
      <c r="B24" s="2" t="str">
        <v/>
      </c>
      <c r="C24" s="2" t="str">
        <v/>
      </c>
    </row>
    <row r="25">
      <c r="A25" s="6" t="str">
        <v>── Engagement Details ──</v>
      </c>
      <c r="B25" s="6" t="str">
        <v/>
      </c>
      <c r="C25" s="6" t="str">
        <v/>
      </c>
    </row>
    <row r="26">
      <c r="B26" s="2" t="str">
        <v>Status</v>
      </c>
      <c r="C26" s="2" t="str">
        <v>No data available</v>
      </c>
    </row>
    <row r="27">
      <c r="B27" s="2" t="str">
        <v/>
      </c>
      <c r="C27" s="2" t="str">
        <v/>
      </c>
    </row>
    <row r="28">
      <c r="A28" s="6" t="str">
        <v>── Engagement Fee Invoice ──</v>
      </c>
      <c r="B28" s="6" t="str">
        <v/>
      </c>
      <c r="C28" s="6" t="str">
        <v/>
      </c>
    </row>
    <row r="29">
      <c r="B29" s="2" t="str">
        <v>Status</v>
      </c>
      <c r="C29" s="2" t="str">
        <v>No data available</v>
      </c>
    </row>
    <row r="30">
      <c r="B30" s="2" t="str">
        <v/>
      </c>
      <c r="C30" s="2" t="str">
        <v/>
      </c>
    </row>
    <row r="31">
      <c r="A31" s="6" t="str">
        <v>── Engagement Signed Letter ──</v>
      </c>
      <c r="B31" s="6" t="str">
        <v/>
      </c>
      <c r="C31" s="6" t="str">
        <v/>
      </c>
    </row>
    <row r="32">
      <c r="B32" s="2" t="str">
        <v>Status</v>
      </c>
      <c r="C32" s="2" t="str">
        <v>No data available</v>
      </c>
    </row>
    <row r="33">
      <c r="B33" s="2" t="str">
        <v/>
      </c>
      <c r="C33" s="2" t="str">
        <v/>
      </c>
    </row>
    <row r="34">
      <c r="A34" s="6" t="str">
        <v>── Engagement Letter Verification ──</v>
      </c>
      <c r="B34" s="6" t="str">
        <v/>
      </c>
      <c r="C34" s="6" t="str">
        <v/>
      </c>
    </row>
    <row r="35">
      <c r="B35" s="2" t="str">
        <v>Status</v>
      </c>
      <c r="C35" s="2" t="str">
        <v>No data available</v>
      </c>
    </row>
    <row r="36">
      <c r="B36" s="2" t="str">
        <v/>
      </c>
      <c r="C36" s="2" t="str">
        <v/>
      </c>
    </row>
  </sheetData>
  <ignoredErrors>
    <ignoredError numberStoredAsText="1" sqref="A1:C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width="38.83203125" customWidth="1"/>
    <col min="2" max="2" width="18.83203125" customWidth="1"/>
    <col min="3" max="3" width="47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Arthiga  Sasiharan</v>
      </c>
    </row>
    <row r="4">
      <c r="B4" s="2" t="str">
        <v>Company</v>
      </c>
      <c r="C4" s="2" t="str">
        <v>Fortuna Advisory Group</v>
      </c>
    </row>
    <row r="5">
      <c r="B5" s="2" t="str">
        <v>Email</v>
      </c>
      <c r="C5" s="2" t="str">
        <v>arthiga.sasiharan@fortunaadvisors.com.au</v>
      </c>
    </row>
    <row r="6">
      <c r="B6" s="2" t="str">
        <v>Phone</v>
      </c>
      <c r="C6" s="2" t="str">
        <v>61893591011</v>
      </c>
    </row>
    <row r="7">
      <c r="B7" s="2" t="str">
        <v>Status</v>
      </c>
      <c r="C7" s="2" t="str">
        <v>inactive</v>
      </c>
    </row>
    <row r="8">
      <c r="B8" s="2" t="str">
        <v>Address</v>
      </c>
      <c r="C8" s="2" t="str">
        <v>Unit 1 264 Kalamunda Road, Maida Vale WA 6057</v>
      </c>
    </row>
    <row r="9">
      <c r="B9" s="2" t="str">
        <v>Division</v>
      </c>
      <c r="C9" s="2" t="str">
        <v>Bookkeeping</v>
      </c>
    </row>
    <row r="10">
      <c r="B10" s="2" t="str">
        <v>Price Estimate</v>
      </c>
      <c r="C10" s="2" t="str">
        <v>1400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Positions ──</v>
      </c>
      <c r="B13" s="6" t="str">
        <v/>
      </c>
      <c r="C13" s="6" t="str">
        <v/>
      </c>
    </row>
    <row r="14">
      <c r="B14" s="2" t="str">
        <v xml:space="preserve">  Position</v>
      </c>
      <c r="C14" s="2" t="str">
        <v>Bookkeeper</v>
      </c>
    </row>
    <row r="15">
      <c r="B15" s="2" t="str">
        <v xml:space="preserve">  Working Hours</v>
      </c>
      <c r="C15" s="2" t="str">
        <v>7:30 - 4:30</v>
      </c>
    </row>
    <row r="16">
      <c r="B16" s="2" t="str">
        <v xml:space="preserve">  Salary Range</v>
      </c>
      <c r="C16" s="2" t="str">
        <v>7-12 LPA</v>
      </c>
    </row>
    <row r="17">
      <c r="B17" s="2" t="str">
        <v xml:space="preserve">  Engagement Fee</v>
      </c>
      <c r="C17" s="2" t="str">
        <v>0</v>
      </c>
    </row>
    <row r="18">
      <c r="B18" s="2" t="str">
        <v xml:space="preserve">  Requirements</v>
      </c>
      <c r="C18" s="2" t="str">
        <v>Referral by Melvyn</v>
      </c>
    </row>
    <row r="19">
      <c r="B19" s="2" t="str">
        <v/>
      </c>
      <c r="C19" s="2" t="str">
        <v/>
      </c>
    </row>
    <row r="20">
      <c r="A20" s="6" t="str">
        <v>── Engagement Details ──</v>
      </c>
      <c r="B20" s="6" t="str">
        <v/>
      </c>
      <c r="C20" s="6" t="str">
        <v/>
      </c>
    </row>
    <row r="21">
      <c r="B21" s="2" t="str">
        <v>Status</v>
      </c>
      <c r="C21" s="2" t="str">
        <v>No data available</v>
      </c>
    </row>
    <row r="22">
      <c r="B22" s="2" t="str">
        <v/>
      </c>
      <c r="C22" s="2" t="str">
        <v/>
      </c>
    </row>
    <row r="23">
      <c r="A23" s="6" t="str">
        <v>── Engagement Fee Invoice ──</v>
      </c>
      <c r="B23" s="6" t="str">
        <v/>
      </c>
      <c r="C23" s="6" t="str">
        <v/>
      </c>
    </row>
    <row r="24">
      <c r="B24" s="2" t="str">
        <v>Status</v>
      </c>
      <c r="C24" s="2" t="str">
        <v>No data available</v>
      </c>
    </row>
    <row r="25">
      <c r="B25" s="2" t="str">
        <v/>
      </c>
      <c r="C25" s="2" t="str">
        <v/>
      </c>
    </row>
    <row r="26">
      <c r="A26" s="6" t="str">
        <v>── Engagement Signed Letter ──</v>
      </c>
      <c r="B26" s="6" t="str">
        <v/>
      </c>
      <c r="C26" s="6" t="str">
        <v/>
      </c>
    </row>
    <row r="27">
      <c r="B27" s="2" t="str">
        <v>Status</v>
      </c>
      <c r="C27" s="2" t="str">
        <v>No data available</v>
      </c>
    </row>
    <row r="28">
      <c r="B28" s="2" t="str">
        <v/>
      </c>
      <c r="C28" s="2" t="str">
        <v/>
      </c>
    </row>
    <row r="29">
      <c r="A29" s="6" t="str">
        <v>── Engagement Letter Verification ──</v>
      </c>
      <c r="B29" s="6" t="str">
        <v/>
      </c>
      <c r="C29" s="6" t="str">
        <v/>
      </c>
    </row>
    <row r="30">
      <c r="B30" s="2" t="str">
        <v>Status</v>
      </c>
      <c r="C30" s="2" t="str">
        <v>No data available</v>
      </c>
    </row>
    <row r="31">
      <c r="B31" s="2" t="str">
        <v/>
      </c>
      <c r="C31" s="2" t="str">
        <v/>
      </c>
    </row>
  </sheetData>
  <ignoredErrors>
    <ignoredError numberStoredAsText="1" sqref="A1:C3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44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Mili Aggarwal</v>
      </c>
    </row>
    <row r="4">
      <c r="B4" s="2" t="str">
        <v>Company</v>
      </c>
      <c r="C4" s="2" t="str">
        <v>Fortuna Wealth Management</v>
      </c>
    </row>
    <row r="5">
      <c r="B5" s="2" t="str">
        <v>Email</v>
      </c>
      <c r="C5" s="2" t="str">
        <v>mili@fortunaadvisors.com.au</v>
      </c>
    </row>
    <row r="6">
      <c r="B6" s="2" t="str">
        <v>Phone</v>
      </c>
      <c r="C6" s="2" t="str">
        <v>61892404211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Level 1, 147 Colin Street, West Perth 6005</v>
      </c>
    </row>
    <row r="9">
      <c r="B9" s="2" t="str">
        <v>Division</v>
      </c>
      <c r="C9" s="2" t="str">
        <v>Paraplanning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46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Garth Krasisnski</v>
      </c>
    </row>
    <row r="4">
      <c r="B4" s="2" t="str">
        <v>Company</v>
      </c>
      <c r="C4" s="2" t="str">
        <v>Advanced Risk Management Pty Ltd</v>
      </c>
    </row>
    <row r="5">
      <c r="B5" s="2" t="str">
        <v>Email</v>
      </c>
      <c r="C5" s="2" t="str">
        <v>garth.krasinski@grangeinsurance.com.au</v>
      </c>
    </row>
    <row r="6">
      <c r="B6" s="2" t="str">
        <v>Phone</v>
      </c>
      <c r="C6" s="2" t="str">
        <v>610892018000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 xml:space="preserve"> Level 2, 375 Charles St,  North Perth  6006</v>
      </c>
    </row>
    <row r="9">
      <c r="B9" s="2" t="str">
        <v>Division</v>
      </c>
      <c r="C9" s="2" t="str">
        <v>Taxation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38.83203125" customWidth="1"/>
    <col min="2" max="2" width="18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Wade Dowden</v>
      </c>
    </row>
    <row r="4">
      <c r="B4" s="2" t="str">
        <v>Company</v>
      </c>
      <c r="C4" s="2" t="str">
        <v>Fortify Insurance Broker</v>
      </c>
    </row>
    <row r="5">
      <c r="B5" s="2" t="str">
        <v>Email</v>
      </c>
      <c r="C5" s="2" t="str">
        <v>wade@fortifyib.com.au</v>
      </c>
    </row>
    <row r="6">
      <c r="B6" s="2" t="str">
        <v>Phone</v>
      </c>
      <c r="C6" s="2" t="str">
        <v>610421257439</v>
      </c>
    </row>
    <row r="7">
      <c r="B7" s="2" t="str">
        <v>Status</v>
      </c>
      <c r="C7" s="2" t="str">
        <v>open-position</v>
      </c>
    </row>
    <row r="8">
      <c r="B8" s="2" t="str">
        <v>Address</v>
      </c>
      <c r="C8" s="2" t="str">
        <v>110 Erindale Road, Balcatta   WA   6021</v>
      </c>
    </row>
    <row r="9">
      <c r="B9" s="2" t="str">
        <v>Division</v>
      </c>
      <c r="C9" s="2" t="str">
        <v>Taxation</v>
      </c>
    </row>
    <row r="10">
      <c r="B10" s="2" t="str">
        <v>Price Estimate</v>
      </c>
      <c r="C10" s="2" t="str">
        <v>3000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Client Info Document ──</v>
      </c>
      <c r="B13" s="6" t="str">
        <v/>
      </c>
      <c r="C13" s="6" t="str">
        <v/>
      </c>
    </row>
    <row r="14">
      <c r="B14" s="2" t="str">
        <v>Contact Person</v>
      </c>
      <c r="C14" s="2" t="str">
        <v>Wade Dowden</v>
      </c>
    </row>
    <row r="15">
      <c r="B15" s="2" t="str">
        <v>Abn Acn</v>
      </c>
      <c r="C15" s="2" t="str">
        <v>74154292078</v>
      </c>
    </row>
    <row r="16">
      <c r="B16" s="2" t="str">
        <v>Info File U R L</v>
      </c>
      <c r="C16" s="7" t="str">
        <f>HYPERLINK("https://firebasestorage.googleapis.com/v0/b/toptrack-ad384.firebasestorage.app/o/clients%2FVg4lPT0VuI2YPkQGS4Od%2Finfodoc%2Fwade.png?alt=media&amp;token=ef0e46fb-7081-49f2-a558-870c463fddcc","wade.png")</f>
        <v>wade.png</v>
      </c>
    </row>
    <row r="17">
      <c r="B17" s="2" t="str">
        <v>Info File Name</v>
      </c>
      <c r="C17" s="2" t="str">
        <v>wade.png</v>
      </c>
    </row>
    <row r="18">
      <c r="B18" s="2" t="str">
        <v/>
      </c>
      <c r="C18" s="2" t="str">
        <v/>
      </c>
    </row>
    <row r="19">
      <c r="A19" s="6" t="str">
        <v>── Positions ──</v>
      </c>
      <c r="B19" s="6" t="str">
        <v/>
      </c>
      <c r="C19" s="6" t="str">
        <v/>
      </c>
    </row>
    <row r="20">
      <c r="B20" s="2" t="str">
        <v xml:space="preserve">  Position</v>
      </c>
      <c r="C20" s="2" t="str">
        <v>Broker Assistant</v>
      </c>
    </row>
    <row r="21">
      <c r="B21" s="2" t="str">
        <v xml:space="preserve">  Working Hours</v>
      </c>
      <c r="C21" s="2" t="str">
        <v xml:space="preserve">6:30-3:30 </v>
      </c>
    </row>
    <row r="22">
      <c r="B22" s="2" t="str">
        <v xml:space="preserve">  Salary Range</v>
      </c>
      <c r="C22" s="2" t="str">
        <v>600000-700000</v>
      </c>
    </row>
    <row r="23">
      <c r="B23" s="2" t="str">
        <v xml:space="preserve">  Engagement Fee</v>
      </c>
      <c r="C23" s="2" t="str">
        <v>2000</v>
      </c>
    </row>
    <row r="24">
      <c r="B24" s="2" t="str">
        <v/>
      </c>
      <c r="C24" s="2" t="str">
        <v/>
      </c>
    </row>
    <row r="25">
      <c r="A25" s="6" t="str">
        <v>── Engagement Details ──</v>
      </c>
      <c r="B25" s="6" t="str">
        <v/>
      </c>
      <c r="C25" s="6" t="str">
        <v/>
      </c>
    </row>
    <row r="26">
      <c r="B26" s="2" t="str">
        <v>File Name</v>
      </c>
      <c r="C26" s="2" t="str">
        <v>Oracle Group- Engagement Letter (1).pdf</v>
      </c>
    </row>
    <row r="27">
      <c r="B27" s="2" t="str">
        <v>Uploaded At</v>
      </c>
      <c r="C27" s="2" t="str">
        <v>2026-01-29T14:55:58.691Z</v>
      </c>
    </row>
    <row r="28">
      <c r="B28" s="2" t="str">
        <v>File Url</v>
      </c>
      <c r="C28" s="7" t="str">
        <f>HYPERLINK("https://firebasestorage.googleapis.com/v0/b/toptrack-ad384.firebasestorage.app/o/engagement_letters%2FVg4lPT0VuI2YPkQGS4Od%2FOracle%20Group-%20Engagement%20Letter%20(1).pdf?alt=media&amp;token=6a61bdac-24aa-47b8-9cbf-44d0f5c23045","Oracle Group- Engagement Letter (1).pdf")</f>
        <v>Oracle Group- Engagement Letter (1).pdf</v>
      </c>
    </row>
    <row r="29">
      <c r="B29" s="2" t="str">
        <v/>
      </c>
      <c r="C29" s="2" t="str">
        <v/>
      </c>
    </row>
    <row r="30">
      <c r="A30" s="6" t="str">
        <v>── Engagement Fee Invoice ──</v>
      </c>
      <c r="B30" s="6" t="str">
        <v/>
      </c>
      <c r="C30" s="6" t="str">
        <v/>
      </c>
    </row>
    <row r="31">
      <c r="B31" s="2" t="str">
        <v>File Name</v>
      </c>
      <c r="C31" s="2" t="str">
        <v>Invoice INV-0630 (1) (1).pdf</v>
      </c>
    </row>
    <row r="32">
      <c r="B32" s="2" t="str">
        <v>Engagement Date</v>
      </c>
      <c r="C32" s="2" t="str">
        <v>2025-04-23</v>
      </c>
    </row>
    <row r="33">
      <c r="B33" s="2" t="str">
        <v>Uploaded At</v>
      </c>
      <c r="C33" s="2" t="str">
        <v>2026-01-29T14:56:58.700Z</v>
      </c>
    </row>
    <row r="34">
      <c r="B34" s="2" t="str">
        <v>File Url</v>
      </c>
      <c r="C34" s="7" t="str">
        <f>HYPERLINK("https://firebasestorage.googleapis.com/v0/b/toptrack-ad384.firebasestorage.app/o/engagement_fee_invoices%2FVg4lPT0VuI2YPkQGS4Od%2FInvoice%20INV-0630%20(1)%20(1).pdf?alt=media&amp;token=49fc29e8-e4c9-4cff-911a-b0ec3dc455fd","Invoice INV-0630 (1) (1).pdf")</f>
        <v>Invoice INV-0630 (1) (1).pdf</v>
      </c>
    </row>
    <row r="35">
      <c r="B35" s="2" t="str">
        <v/>
      </c>
      <c r="C35" s="2" t="str">
        <v/>
      </c>
    </row>
    <row r="36">
      <c r="A36" s="6" t="str">
        <v>── Engagement Signed Letter ──</v>
      </c>
      <c r="B36" s="6" t="str">
        <v/>
      </c>
      <c r="C36" s="6" t="str">
        <v/>
      </c>
    </row>
    <row r="37">
      <c r="B37" s="2" t="str">
        <v>File Url</v>
      </c>
      <c r="C37" s="7" t="str">
        <f>HYPERLINK("https://firebasestorage.googleapis.com/v0/b/toptrack-ad384.firebasestorage.app/o/signed_engagement_letters%2FVg4lPT0VuI2YPkQGS4Od%2FOracle%20Group-%20Engagement%20Letter%20(3).pdf?alt=media&amp;token=f243e575-c2b1-4706-8161-122351c9d6a9","Oracle Group- Engagement Letter (3).pdf")</f>
        <v>Oracle Group- Engagement Letter (3).pdf</v>
      </c>
    </row>
    <row r="38">
      <c r="B38" s="2" t="str">
        <v>Invoice Paid</v>
      </c>
      <c r="C38" s="2" t="str">
        <v>Yes</v>
      </c>
    </row>
    <row r="39">
      <c r="B39" s="2" t="str">
        <v>Uploaded At</v>
      </c>
      <c r="C39" s="2" t="str">
        <v>2026-01-29T14:57:59.578Z</v>
      </c>
    </row>
    <row r="40">
      <c r="B40" s="2" t="str">
        <v>File Name</v>
      </c>
      <c r="C40" s="2" t="str">
        <v>Oracle Group- Engagement Letter (3).pdf</v>
      </c>
    </row>
    <row r="41">
      <c r="B41" s="2" t="str">
        <v/>
      </c>
      <c r="C41" s="2" t="str">
        <v/>
      </c>
    </row>
    <row r="42">
      <c r="A42" s="6" t="str">
        <v>── Engagement Letter Verification ──</v>
      </c>
      <c r="B42" s="6" t="str">
        <v/>
      </c>
      <c r="C42" s="6" t="str">
        <v/>
      </c>
    </row>
    <row r="43">
      <c r="B43" s="2" t="str">
        <v>Invoice Sent</v>
      </c>
      <c r="C43" s="2" t="str">
        <v>Yes</v>
      </c>
    </row>
    <row r="44">
      <c r="B44" s="2" t="str">
        <v>Engagement Sent</v>
      </c>
      <c r="C44" s="2" t="str">
        <v>Yes</v>
      </c>
    </row>
    <row r="45">
      <c r="B45" s="2" t="str">
        <v/>
      </c>
      <c r="C45" s="2" t="str">
        <v/>
      </c>
    </row>
  </sheetData>
  <ignoredErrors>
    <ignoredError numberStoredAsText="1" sqref="A1:C4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8.83203125" customWidth="1"/>
    <col min="2" max="2" width="18.83203125" customWidth="1"/>
    <col min="3" max="3" width="4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Jaycob  Moriarty</v>
      </c>
    </row>
    <row r="4">
      <c r="B4" s="2" t="str">
        <v>Company</v>
      </c>
      <c r="C4" s="2" t="str">
        <v>Grange Insurance</v>
      </c>
    </row>
    <row r="5">
      <c r="B5" s="2" t="str">
        <v>Email</v>
      </c>
      <c r="C5" s="2" t="str">
        <v>jaycob.moriarty@grangeinsurance.com.au</v>
      </c>
    </row>
    <row r="6">
      <c r="B6" s="2" t="str">
        <v>Phone</v>
      </c>
      <c r="C6" s="2" t="str">
        <v/>
      </c>
    </row>
    <row r="7">
      <c r="B7" s="2" t="str">
        <v>Status</v>
      </c>
      <c r="C7" s="2" t="str">
        <v>active</v>
      </c>
    </row>
    <row r="8">
      <c r="B8" s="2" t="str">
        <v>Division</v>
      </c>
      <c r="C8" s="2" t="str">
        <v>Taxation</v>
      </c>
    </row>
    <row r="9">
      <c r="B9" s="2" t="str">
        <v>Price Estimate</v>
      </c>
      <c r="C9" s="2" t="str">
        <v>2900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 xml:space="preserve">  Position</v>
      </c>
      <c r="C13" s="2" t="str">
        <v>Broker Assistant</v>
      </c>
    </row>
    <row r="14">
      <c r="B14" s="2" t="str">
        <v xml:space="preserve">  Working Hours</v>
      </c>
      <c r="C14" s="2" t="str">
        <v xml:space="preserve">6:00-2:30 </v>
      </c>
    </row>
    <row r="15">
      <c r="B15" s="2" t="str">
        <v xml:space="preserve">  Salary Range</v>
      </c>
      <c r="C15" s="2" t="str">
        <v>1200000</v>
      </c>
    </row>
    <row r="16">
      <c r="B16" s="2" t="str">
        <v xml:space="preserve">  Engagement Fee</v>
      </c>
      <c r="C16" s="2" t="str">
        <v>2000</v>
      </c>
    </row>
    <row r="17">
      <c r="B17" s="2" t="str">
        <v/>
      </c>
      <c r="C17" s="2" t="str">
        <v/>
      </c>
    </row>
    <row r="18">
      <c r="A18" s="6" t="str">
        <v>── Engagement Details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Fee Invoice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Signed Letter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  <row r="27">
      <c r="A27" s="6" t="str">
        <v>── Engagement Letter Verification ──</v>
      </c>
      <c r="B27" s="6" t="str">
        <v/>
      </c>
      <c r="C27" s="6" t="str">
        <v/>
      </c>
    </row>
    <row r="28">
      <c r="B28" s="2" t="str">
        <v>Status</v>
      </c>
      <c r="C28" s="2" t="str">
        <v>No data available</v>
      </c>
    </row>
    <row r="29">
      <c r="B29" s="2" t="str">
        <v/>
      </c>
      <c r="C29" s="2" t="str">
        <v/>
      </c>
    </row>
  </sheetData>
  <ignoredErrors>
    <ignoredError numberStoredAsText="1" sqref="A1:C2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8.83203125" customWidth="1"/>
    <col min="2" max="2" width="18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Harpal Singh</v>
      </c>
    </row>
    <row r="4">
      <c r="B4" s="2" t="str">
        <v>Company</v>
      </c>
      <c r="C4" s="2" t="str">
        <v>Insure-Today</v>
      </c>
    </row>
    <row r="5">
      <c r="B5" s="2" t="str">
        <v>Email</v>
      </c>
      <c r="C5" s="2" t="str">
        <v>harpal@insure-today.com.au</v>
      </c>
    </row>
    <row r="6">
      <c r="B6" s="2" t="str">
        <v>Phone</v>
      </c>
      <c r="C6" s="2" t="str">
        <v>610286310943</v>
      </c>
    </row>
    <row r="7">
      <c r="B7" s="2" t="str">
        <v>Status</v>
      </c>
      <c r="C7" s="2" t="str">
        <v>inactive</v>
      </c>
    </row>
    <row r="8">
      <c r="B8" s="2" t="str">
        <v>Address</v>
      </c>
      <c r="C8" s="2" t="str">
        <v>Bella Vista, New South Wales</v>
      </c>
    </row>
    <row r="9">
      <c r="B9" s="2" t="str">
        <v>Division</v>
      </c>
      <c r="C9" s="2" t="str">
        <v>Financial Planning</v>
      </c>
    </row>
    <row r="10">
      <c r="B10" s="2" t="str">
        <v>Price Estimate</v>
      </c>
      <c r="C10" s="2" t="str">
        <v>2500-3000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Client Info Document ──</v>
      </c>
      <c r="B13" s="6" t="str">
        <v/>
      </c>
      <c r="C13" s="6" t="str">
        <v/>
      </c>
    </row>
    <row r="14">
      <c r="B14" s="2" t="str">
        <v>Abn Acn</v>
      </c>
      <c r="C14" s="2" t="str">
        <v>66 605 592 523</v>
      </c>
    </row>
    <row r="15">
      <c r="B15" s="2" t="str">
        <v>Contact Person</v>
      </c>
      <c r="C15" s="2" t="str">
        <v>Harpal</v>
      </c>
    </row>
    <row r="16">
      <c r="B16" s="2" t="str">
        <v>Info File Name</v>
      </c>
      <c r="C16" s="2" t="str">
        <v>Client Info Doc.docx</v>
      </c>
    </row>
    <row r="17">
      <c r="B17" s="2" t="str">
        <v>Info File U R L</v>
      </c>
      <c r="C17" s="7" t="str">
        <f>HYPERLINK("https://firebasestorage.googleapis.com/v0/b/toptrack-ad384.firebasestorage.app/o/clients%2FaLL1Mscg9mdVdsWoQkcp%2Finfodoc%2FClient%20Info%20Doc.docx?alt=media&amp;token=0afa54d8-8754-46aa-a131-49f3bc6aa17c","Client Info Doc.docx")</f>
        <v>Client Info Doc.docx</v>
      </c>
    </row>
    <row r="18">
      <c r="B18" s="2" t="str">
        <v/>
      </c>
      <c r="C18" s="2" t="str">
        <v/>
      </c>
    </row>
    <row r="19">
      <c r="A19" s="6" t="str">
        <v>── Positions ──</v>
      </c>
      <c r="B19" s="6" t="str">
        <v/>
      </c>
      <c r="C19" s="6" t="str">
        <v/>
      </c>
    </row>
    <row r="20">
      <c r="B20" s="2" t="str">
        <v xml:space="preserve">  Position</v>
      </c>
      <c r="C20" s="2" t="str">
        <v>Broker Assistant</v>
      </c>
    </row>
    <row r="21">
      <c r="B21" s="2" t="str">
        <v xml:space="preserve">  Working Hours</v>
      </c>
      <c r="C21" s="2" t="str">
        <v>7:30 - 4:30</v>
      </c>
    </row>
    <row r="22">
      <c r="B22" s="2" t="str">
        <v xml:space="preserve">  Salary Range</v>
      </c>
      <c r="C22" s="2" t="str">
        <v>7-10 LPA</v>
      </c>
    </row>
    <row r="23">
      <c r="B23" s="2" t="str">
        <v xml:space="preserve">  Engagement Fee</v>
      </c>
      <c r="C23" s="2" t="str">
        <v>2000</v>
      </c>
    </row>
    <row r="24">
      <c r="B24" s="2" t="str">
        <v/>
      </c>
      <c r="C24" s="2" t="str">
        <v/>
      </c>
    </row>
    <row r="25">
      <c r="A25" s="6" t="str">
        <v>── Engagement Details ──</v>
      </c>
      <c r="B25" s="6" t="str">
        <v/>
      </c>
      <c r="C25" s="6" t="str">
        <v/>
      </c>
    </row>
    <row r="26">
      <c r="B26" s="2" t="str">
        <v>Status</v>
      </c>
      <c r="C26" s="2" t="str">
        <v>No data available</v>
      </c>
    </row>
    <row r="27">
      <c r="B27" s="2" t="str">
        <v/>
      </c>
      <c r="C27" s="2" t="str">
        <v/>
      </c>
    </row>
    <row r="28">
      <c r="A28" s="6" t="str">
        <v>── Engagement Fee Invoice ──</v>
      </c>
      <c r="B28" s="6" t="str">
        <v/>
      </c>
      <c r="C28" s="6" t="str">
        <v/>
      </c>
    </row>
    <row r="29">
      <c r="B29" s="2" t="str">
        <v>Status</v>
      </c>
      <c r="C29" s="2" t="str">
        <v>No data available</v>
      </c>
    </row>
    <row r="30">
      <c r="B30" s="2" t="str">
        <v/>
      </c>
      <c r="C30" s="2" t="str">
        <v/>
      </c>
    </row>
    <row r="31">
      <c r="A31" s="6" t="str">
        <v>── Engagement Signed Letter ──</v>
      </c>
      <c r="B31" s="6" t="str">
        <v/>
      </c>
      <c r="C31" s="6" t="str">
        <v/>
      </c>
    </row>
    <row r="32">
      <c r="B32" s="2" t="str">
        <v>Status</v>
      </c>
      <c r="C32" s="2" t="str">
        <v>No data available</v>
      </c>
    </row>
    <row r="33">
      <c r="B33" s="2" t="str">
        <v/>
      </c>
      <c r="C33" s="2" t="str">
        <v/>
      </c>
    </row>
    <row r="34">
      <c r="A34" s="6" t="str">
        <v>── Engagement Letter Verification ──</v>
      </c>
      <c r="B34" s="6" t="str">
        <v/>
      </c>
      <c r="C34" s="6" t="str">
        <v/>
      </c>
    </row>
    <row r="35">
      <c r="B35" s="2" t="str">
        <v>Status</v>
      </c>
      <c r="C35" s="2" t="str">
        <v>No data available</v>
      </c>
    </row>
    <row r="36">
      <c r="B36" s="2" t="str">
        <v/>
      </c>
      <c r="C36" s="2" t="str">
        <v/>
      </c>
    </row>
  </sheetData>
  <ignoredErrors>
    <ignoredError numberStoredAsText="1" sqref="A1:C3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8.83203125" customWidth="1"/>
    <col min="2" max="2" width="17.83203125" customWidth="1"/>
    <col min="3" max="3" width="37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Rao  Damaraju</v>
      </c>
    </row>
    <row r="4">
      <c r="B4" s="2" t="str">
        <v>Company</v>
      </c>
      <c r="C4" s="2" t="str">
        <v>Fratelli Group</v>
      </c>
    </row>
    <row r="5">
      <c r="B5" s="2" t="str">
        <v>Email</v>
      </c>
      <c r="C5" s="2" t="str">
        <v>Rao@fratellihomeswa.com.au</v>
      </c>
    </row>
    <row r="6">
      <c r="B6" s="2" t="str">
        <v>Phone</v>
      </c>
      <c r="C6" s="2" t="str">
        <v>610861840864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3/5 Mumford Place, Balcatta WA 6021</v>
      </c>
    </row>
    <row r="9">
      <c r="B9" s="2" t="str">
        <v>Division</v>
      </c>
      <c r="C9" s="2" t="str">
        <v>Bookkeeping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A13" s="9" t="str">
        <v/>
      </c>
      <c r="B13" s="9" t="str">
        <v xml:space="preserve">  [Position 1]</v>
      </c>
      <c r="C13" s="9" t="str">
        <v/>
      </c>
    </row>
    <row r="14">
      <c r="B14" s="2" t="str">
        <v xml:space="preserve">  Position</v>
      </c>
      <c r="C14" s="2" t="str">
        <v>Associate</v>
      </c>
    </row>
    <row r="15">
      <c r="B15" s="2" t="str">
        <v xml:space="preserve">  Working Hours</v>
      </c>
      <c r="C15" s="2" t="str">
        <v>8:30AM- 5:30PM</v>
      </c>
    </row>
    <row r="16">
      <c r="A16" s="9" t="str">
        <v/>
      </c>
      <c r="B16" s="9" t="str">
        <v xml:space="preserve">  [Position 2]</v>
      </c>
      <c r="C16" s="9" t="str">
        <v/>
      </c>
    </row>
    <row r="17">
      <c r="B17" s="2" t="str">
        <v xml:space="preserve">  Position</v>
      </c>
      <c r="C17" s="2" t="str">
        <v>Bookkeeper</v>
      </c>
    </row>
    <row r="18">
      <c r="B18" s="2" t="str">
        <v xml:space="preserve">  Working Hours</v>
      </c>
      <c r="C18" s="2" t="str">
        <v>8:30 AM- 5:30 PM</v>
      </c>
    </row>
    <row r="19">
      <c r="B19" s="2" t="str">
        <v xml:space="preserve">  Salary Range</v>
      </c>
      <c r="C19" s="2" t="str">
        <v>2000</v>
      </c>
    </row>
    <row r="20">
      <c r="A20" s="9" t="str">
        <v/>
      </c>
      <c r="B20" s="9" t="str">
        <v xml:space="preserve">  [Position 3]</v>
      </c>
      <c r="C20" s="9" t="str">
        <v/>
      </c>
    </row>
    <row r="21">
      <c r="B21" s="2" t="str">
        <v xml:space="preserve">  Position</v>
      </c>
      <c r="C21" s="2" t="str">
        <v>Bookkeeper</v>
      </c>
    </row>
    <row r="22">
      <c r="B22" s="2" t="str">
        <v xml:space="preserve">  Working Hours</v>
      </c>
      <c r="C22" s="2" t="str">
        <v>8:30 AM- 5:30 PM</v>
      </c>
    </row>
    <row r="23">
      <c r="B23" s="2" t="str">
        <v xml:space="preserve">  Salary Range</v>
      </c>
      <c r="C23" s="2" t="str">
        <v>2100</v>
      </c>
    </row>
    <row r="24">
      <c r="B24" s="2" t="str">
        <v/>
      </c>
      <c r="C24" s="2" t="str">
        <v/>
      </c>
    </row>
    <row r="25">
      <c r="A25" s="6" t="str">
        <v>── Engagement Details ──</v>
      </c>
      <c r="B25" s="6" t="str">
        <v/>
      </c>
      <c r="C25" s="6" t="str">
        <v/>
      </c>
    </row>
    <row r="26">
      <c r="B26" s="2" t="str">
        <v>Status</v>
      </c>
      <c r="C26" s="2" t="str">
        <v>No data available</v>
      </c>
    </row>
    <row r="27">
      <c r="B27" s="2" t="str">
        <v/>
      </c>
      <c r="C27" s="2" t="str">
        <v/>
      </c>
    </row>
    <row r="28">
      <c r="A28" s="6" t="str">
        <v>── Engagement Fee Invoice ──</v>
      </c>
      <c r="B28" s="6" t="str">
        <v/>
      </c>
      <c r="C28" s="6" t="str">
        <v/>
      </c>
    </row>
    <row r="29">
      <c r="B29" s="2" t="str">
        <v>Status</v>
      </c>
      <c r="C29" s="2" t="str">
        <v>No data available</v>
      </c>
    </row>
    <row r="30">
      <c r="B30" s="2" t="str">
        <v/>
      </c>
      <c r="C30" s="2" t="str">
        <v/>
      </c>
    </row>
    <row r="31">
      <c r="A31" s="6" t="str">
        <v>── Engagement Signed Letter ──</v>
      </c>
      <c r="B31" s="6" t="str">
        <v/>
      </c>
      <c r="C31" s="6" t="str">
        <v/>
      </c>
    </row>
    <row r="32">
      <c r="B32" s="2" t="str">
        <v>Status</v>
      </c>
      <c r="C32" s="2" t="str">
        <v>No data available</v>
      </c>
    </row>
    <row r="33">
      <c r="B33" s="2" t="str">
        <v/>
      </c>
      <c r="C33" s="2" t="str">
        <v/>
      </c>
    </row>
    <row r="34">
      <c r="A34" s="6" t="str">
        <v>── Engagement Letter Verification ──</v>
      </c>
      <c r="B34" s="6" t="str">
        <v/>
      </c>
      <c r="C34" s="6" t="str">
        <v/>
      </c>
    </row>
    <row r="35">
      <c r="B35" s="2" t="str">
        <v>Status</v>
      </c>
      <c r="C35" s="2" t="str">
        <v>No data available</v>
      </c>
    </row>
    <row r="36">
      <c r="B36" s="2" t="str">
        <v/>
      </c>
      <c r="C36" s="2" t="str">
        <v/>
      </c>
    </row>
  </sheetData>
  <ignoredErrors>
    <ignoredError numberStoredAsText="1" sqref="A1:C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cols>
    <col min="1" max="1" width="38.83203125" customWidth="1"/>
    <col min="2" max="2" width="18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Glenn Beall</v>
      </c>
    </row>
    <row r="4">
      <c r="B4" s="2" t="str">
        <v>Company</v>
      </c>
      <c r="C4" s="2" t="str">
        <v>IQPC</v>
      </c>
    </row>
    <row r="5">
      <c r="B5" s="2" t="str">
        <v>Email</v>
      </c>
      <c r="C5" s="2" t="str">
        <v>gbeall@iqpc.net.au</v>
      </c>
    </row>
    <row r="6">
      <c r="B6" s="2" t="str">
        <v>Phone</v>
      </c>
      <c r="C6" s="2" t="str">
        <v>611300662779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Level 1, Suite 6 49 Cedric St Stirling WA 6021 STIRLING WA 6021</v>
      </c>
    </row>
    <row r="9">
      <c r="B9" s="2" t="str">
        <v>Division</v>
      </c>
      <c r="C9" s="2" t="str">
        <v>Helpdesk / Tech Support</v>
      </c>
    </row>
    <row r="10">
      <c r="B10" s="2" t="str">
        <v>Price Estimate</v>
      </c>
      <c r="C10" s="2" t="str">
        <v>2700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Positions ──</v>
      </c>
      <c r="B13" s="6" t="str">
        <v/>
      </c>
      <c r="C13" s="6" t="str">
        <v/>
      </c>
    </row>
    <row r="14">
      <c r="A14" s="9" t="str">
        <v/>
      </c>
      <c r="B14" s="9" t="str">
        <v xml:space="preserve">  [Position 1]</v>
      </c>
      <c r="C14" s="9" t="str">
        <v/>
      </c>
    </row>
    <row r="15">
      <c r="B15" s="2" t="str">
        <v xml:space="preserve">  Position</v>
      </c>
      <c r="C15" s="2" t="str">
        <v>ITSM</v>
      </c>
    </row>
    <row r="16">
      <c r="B16" s="2" t="str">
        <v xml:space="preserve">  Working Hours</v>
      </c>
      <c r="C16" s="2" t="str">
        <v xml:space="preserve">6:00-2:30 </v>
      </c>
    </row>
    <row r="17">
      <c r="A17" s="9" t="str">
        <v/>
      </c>
      <c r="B17" s="9" t="str">
        <v xml:space="preserve">  [Position 2]</v>
      </c>
      <c r="C17" s="9" t="str">
        <v/>
      </c>
    </row>
    <row r="18">
      <c r="B18" s="2" t="str">
        <v xml:space="preserve">  Position</v>
      </c>
      <c r="C18" s="2" t="str">
        <v>Helpdesk Support Technician- 3</v>
      </c>
    </row>
    <row r="19">
      <c r="B19" s="2" t="str">
        <v xml:space="preserve">  Working Hours</v>
      </c>
      <c r="C19" s="2" t="str">
        <v xml:space="preserve">6:00-2:30 </v>
      </c>
    </row>
    <row r="20">
      <c r="B20" s="2" t="str">
        <v xml:space="preserve">  Salary Range</v>
      </c>
      <c r="C20" s="2" t="str">
        <v>7-10 LPA</v>
      </c>
    </row>
    <row r="21">
      <c r="B21" s="2" t="str">
        <v xml:space="preserve">  Engagement Fee</v>
      </c>
      <c r="C21" s="2" t="str">
        <v>2000</v>
      </c>
    </row>
    <row r="22">
      <c r="A22" s="9" t="str">
        <v/>
      </c>
      <c r="B22" s="9" t="str">
        <v xml:space="preserve">  [Position 3]</v>
      </c>
      <c r="C22" s="9" t="str">
        <v/>
      </c>
    </row>
    <row r="23">
      <c r="B23" s="2" t="str">
        <v xml:space="preserve">  Position</v>
      </c>
      <c r="C23" s="2" t="str">
        <v>Helpdesk Support Technician</v>
      </c>
    </row>
    <row r="24">
      <c r="B24" s="2" t="str">
        <v xml:space="preserve">  Working Hours</v>
      </c>
      <c r="C24" s="2" t="str">
        <v xml:space="preserve">6:00-2:30 </v>
      </c>
    </row>
    <row r="25">
      <c r="B25" s="2" t="str">
        <v xml:space="preserve">  Salary Range</v>
      </c>
      <c r="C25" s="2" t="str">
        <v>7-12 LPA</v>
      </c>
    </row>
    <row r="26">
      <c r="B26" s="2" t="str">
        <v xml:space="preserve">  Engagement Fee</v>
      </c>
      <c r="C26" s="2" t="str">
        <v>2000</v>
      </c>
    </row>
    <row r="27">
      <c r="A27" s="9" t="str">
        <v/>
      </c>
      <c r="B27" s="9" t="str">
        <v xml:space="preserve">  [Position 4]</v>
      </c>
      <c r="C27" s="9" t="str">
        <v/>
      </c>
    </row>
    <row r="28">
      <c r="B28" s="2" t="str">
        <v xml:space="preserve">  Position</v>
      </c>
      <c r="C28" s="2" t="str">
        <v>Helpdesk Support Technician</v>
      </c>
    </row>
    <row r="29">
      <c r="B29" s="2" t="str">
        <v xml:space="preserve">  Working Hours</v>
      </c>
      <c r="C29" s="2" t="str">
        <v>6:00-2:30</v>
      </c>
    </row>
    <row r="30">
      <c r="B30" s="2" t="str">
        <v xml:space="preserve">  Salary Range</v>
      </c>
      <c r="C30" s="2" t="str">
        <v>7-12 LPA</v>
      </c>
    </row>
    <row r="31">
      <c r="B31" s="2" t="str">
        <v xml:space="preserve">  Engagement Fee</v>
      </c>
      <c r="C31" s="2" t="str">
        <v>2000</v>
      </c>
    </row>
    <row r="32">
      <c r="B32" s="2" t="str">
        <v/>
      </c>
      <c r="C32" s="2" t="str">
        <v/>
      </c>
    </row>
    <row r="33">
      <c r="A33" s="6" t="str">
        <v>── Engagement Details ──</v>
      </c>
      <c r="B33" s="6" t="str">
        <v/>
      </c>
      <c r="C33" s="6" t="str">
        <v/>
      </c>
    </row>
    <row r="34">
      <c r="B34" s="2" t="str">
        <v>Uploaded At</v>
      </c>
      <c r="C34" s="2" t="str">
        <v>2026-04-29T05:56:29.036Z</v>
      </c>
    </row>
    <row r="35">
      <c r="B35" s="2" t="str">
        <v>File Url</v>
      </c>
      <c r="C35" s="7" t="str">
        <f>HYPERLINK("https://firebasestorage.googleapis.com/v0/b/toptrack-ad384.firebasestorage.app/o/engagement_letters%2FcLONHViCyjoRc4tS1P3t%2FEngagement%20Letter%20IQPC.%20(3).pdf?alt=media&amp;token=e664d529-7e71-452b-b113-e32deb151f42","Engagement Letter IQPC. (3).pdf")</f>
        <v>Engagement Letter IQPC. (3).pdf</v>
      </c>
    </row>
    <row r="36">
      <c r="B36" s="2" t="str">
        <v>File Name</v>
      </c>
      <c r="C36" s="2" t="str">
        <v>Engagement Letter IQPC. (3).pdf</v>
      </c>
    </row>
    <row r="37">
      <c r="B37" s="2" t="str">
        <v/>
      </c>
      <c r="C37" s="2" t="str">
        <v/>
      </c>
    </row>
    <row r="38">
      <c r="A38" s="6" t="str">
        <v>── Engagement Fee Invoice ──</v>
      </c>
      <c r="B38" s="6" t="str">
        <v/>
      </c>
      <c r="C38" s="6" t="str">
        <v/>
      </c>
    </row>
    <row r="39">
      <c r="B39" s="2" t="str">
        <v>Status</v>
      </c>
      <c r="C39" s="2" t="str">
        <v>No data available</v>
      </c>
    </row>
    <row r="40">
      <c r="B40" s="2" t="str">
        <v/>
      </c>
      <c r="C40" s="2" t="str">
        <v/>
      </c>
    </row>
    <row r="41">
      <c r="A41" s="6" t="str">
        <v>── Engagement Signed Letter ──</v>
      </c>
      <c r="B41" s="6" t="str">
        <v/>
      </c>
      <c r="C41" s="6" t="str">
        <v/>
      </c>
    </row>
    <row r="42">
      <c r="B42" s="2" t="str">
        <v>Uploaded At</v>
      </c>
      <c r="C42" s="2" t="str">
        <v>2026-04-29T05:56:57.030Z</v>
      </c>
    </row>
    <row r="43">
      <c r="B43" s="2" t="str">
        <v>File Name</v>
      </c>
      <c r="C43" s="2" t="str">
        <v>Engagement Letter IQPC. (3).pdf</v>
      </c>
    </row>
    <row r="44">
      <c r="B44" s="2" t="str">
        <v>File Url</v>
      </c>
      <c r="C44" s="7" t="str">
        <f>HYPERLINK("https://firebasestorage.googleapis.com/v0/b/toptrack-ad384.firebasestorage.app/o/signed_engagement_letters%2FcLONHViCyjoRc4tS1P3t%2FEngagement%20Letter%20IQPC.%20(3).pdf?alt=media&amp;token=9efaa404-e13e-42fd-8978-67c09526a266","Engagement Letter IQPC. (3).pdf")</f>
        <v>Engagement Letter IQPC. (3).pdf</v>
      </c>
    </row>
    <row r="45">
      <c r="B45" s="2" t="str">
        <v>Invoice Paid</v>
      </c>
      <c r="C45" s="2" t="str">
        <v>No</v>
      </c>
    </row>
    <row r="46">
      <c r="B46" s="2" t="str">
        <v/>
      </c>
      <c r="C46" s="2" t="str">
        <v/>
      </c>
    </row>
    <row r="47">
      <c r="A47" s="6" t="str">
        <v>── Engagement Letter Verification ──</v>
      </c>
      <c r="B47" s="6" t="str">
        <v/>
      </c>
      <c r="C47" s="6" t="str">
        <v/>
      </c>
    </row>
    <row r="48">
      <c r="B48" s="2" t="str">
        <v>Engagement Sent</v>
      </c>
      <c r="C48" s="2" t="str">
        <v>Yes</v>
      </c>
    </row>
    <row r="49">
      <c r="B49" s="2" t="str">
        <v>Invoice Sent</v>
      </c>
      <c r="C49" s="2" t="str">
        <v>Yes</v>
      </c>
    </row>
    <row r="50">
      <c r="B50" s="2" t="str">
        <v/>
      </c>
      <c r="C50" s="2" t="str">
        <v/>
      </c>
    </row>
  </sheetData>
  <ignoredErrors>
    <ignoredError numberStoredAsText="1" sqref="A1:C5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8.83203125" customWidth="1"/>
    <col min="2" max="2" width="24.83203125" customWidth="1"/>
    <col min="3" max="3" width="36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Vijitha Rachankumar</v>
      </c>
    </row>
    <row r="4">
      <c r="B4" s="2" t="str">
        <v>Company</v>
      </c>
      <c r="C4" s="2" t="str">
        <v>Fortuna Southwest</v>
      </c>
    </row>
    <row r="5">
      <c r="B5" s="2" t="str">
        <v>Email</v>
      </c>
      <c r="C5" s="2" t="str">
        <v>vijitha.p@fortunaadvisors.com.au</v>
      </c>
    </row>
    <row r="6">
      <c r="B6" s="2" t="str">
        <v>Phone</v>
      </c>
      <c r="C6" s="2" t="str">
        <v>61895347722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Unit 2/279, Pinjarra Road, WA 6210</v>
      </c>
    </row>
    <row r="9">
      <c r="B9" s="2" t="str">
        <v>Division</v>
      </c>
      <c r="C9" s="2" t="str">
        <v>Accounting</v>
      </c>
    </row>
    <row r="10">
      <c r="B10" s="2" t="str">
        <v>Price Estimate</v>
      </c>
      <c r="C10" s="2" t="str">
        <v>1800</v>
      </c>
    </row>
    <row r="11">
      <c r="B11" s="2" t="str">
        <v>Source</v>
      </c>
      <c r="C11" s="2" t="str">
        <v>Referral</v>
      </c>
    </row>
    <row r="12">
      <c r="B12" s="2" t="str">
        <v>Additional Comments</v>
      </c>
      <c r="C12" s="2" t="str">
        <v>Existing Client</v>
      </c>
    </row>
    <row r="13">
      <c r="B13" s="2" t="str">
        <v/>
      </c>
      <c r="C13" s="2" t="str">
        <v/>
      </c>
    </row>
    <row r="14">
      <c r="A14" s="6" t="str">
        <v>── Positions ──</v>
      </c>
      <c r="B14" s="6" t="str">
        <v/>
      </c>
      <c r="C14" s="6" t="str">
        <v/>
      </c>
    </row>
    <row r="15">
      <c r="B15" s="2" t="str">
        <v>No positions added yet</v>
      </c>
      <c r="C15" s="2" t="str">
        <v/>
      </c>
    </row>
    <row r="16">
      <c r="B16" s="2" t="str">
        <v/>
      </c>
      <c r="C16" s="2" t="str">
        <v/>
      </c>
    </row>
    <row r="17">
      <c r="A17" s="6" t="str">
        <v>── Engagement Details ──</v>
      </c>
      <c r="B17" s="6" t="str">
        <v/>
      </c>
      <c r="C17" s="6" t="str">
        <v/>
      </c>
    </row>
    <row r="18">
      <c r="B18" s="2" t="str">
        <v>Status</v>
      </c>
      <c r="C18" s="2" t="str">
        <v>No data available</v>
      </c>
    </row>
    <row r="19">
      <c r="B19" s="2" t="str">
        <v/>
      </c>
      <c r="C19" s="2" t="str">
        <v/>
      </c>
    </row>
    <row r="20">
      <c r="A20" s="6" t="str">
        <v>── Engagement Fee Invoice ──</v>
      </c>
      <c r="B20" s="6" t="str">
        <v/>
      </c>
      <c r="C20" s="6" t="str">
        <v/>
      </c>
    </row>
    <row r="21">
      <c r="B21" s="2" t="str">
        <v>Status</v>
      </c>
      <c r="C21" s="2" t="str">
        <v>No data available</v>
      </c>
    </row>
    <row r="22">
      <c r="B22" s="2" t="str">
        <v/>
      </c>
      <c r="C22" s="2" t="str">
        <v/>
      </c>
    </row>
    <row r="23">
      <c r="A23" s="6" t="str">
        <v>── Engagement Signed Letter ──</v>
      </c>
      <c r="B23" s="6" t="str">
        <v/>
      </c>
      <c r="C23" s="6" t="str">
        <v/>
      </c>
    </row>
    <row r="24">
      <c r="B24" s="2" t="str">
        <v>Status</v>
      </c>
      <c r="C24" s="2" t="str">
        <v>No data available</v>
      </c>
    </row>
    <row r="25">
      <c r="B25" s="2" t="str">
        <v/>
      </c>
      <c r="C25" s="2" t="str">
        <v/>
      </c>
    </row>
    <row r="26">
      <c r="A26" s="6" t="str">
        <v>── Engagement Letter Verification ──</v>
      </c>
      <c r="B26" s="6" t="str">
        <v/>
      </c>
      <c r="C26" s="6" t="str">
        <v/>
      </c>
    </row>
    <row r="27">
      <c r="B27" s="2" t="str">
        <v>Status</v>
      </c>
      <c r="C27" s="2" t="str">
        <v>No data available</v>
      </c>
    </row>
    <row r="28">
      <c r="B28" s="2" t="str">
        <v/>
      </c>
      <c r="C28" s="2" t="str">
        <v/>
      </c>
    </row>
  </sheetData>
  <ignoredErrors>
    <ignoredError numberStoredAsText="1" sqref="A1:C2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43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Jan  de Bruto</v>
      </c>
    </row>
    <row r="4">
      <c r="B4" s="2" t="str">
        <v>Company</v>
      </c>
      <c r="C4" s="2" t="str">
        <v>DC&amp;C</v>
      </c>
    </row>
    <row r="5">
      <c r="B5" s="2" t="str">
        <v>Email</v>
      </c>
      <c r="C5" s="2" t="str">
        <v>jan@dccca.com.au</v>
      </c>
    </row>
    <row r="6">
      <c r="B6" s="2" t="str">
        <v>Phone</v>
      </c>
      <c r="C6" s="2" t="str">
        <v>6189964480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Unit 3/125 Flores Road, Geraldton WA 6530</v>
      </c>
    </row>
    <row r="9">
      <c r="B9" s="2" t="str">
        <v>Division</v>
      </c>
      <c r="C9" s="2" t="str">
        <v>Accounting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38.83203125" customWidth="1"/>
    <col min="2" max="2" width="24.83203125" customWidth="1"/>
    <col min="3" max="3" width="3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TOP IT Team</v>
      </c>
    </row>
    <row r="4">
      <c r="B4" s="2" t="str">
        <v>Company</v>
      </c>
      <c r="C4" s="2" t="str">
        <v>The Outsource Pro</v>
      </c>
    </row>
    <row r="5">
      <c r="B5" s="2" t="str">
        <v>Email</v>
      </c>
      <c r="C5" s="2" t="str">
        <v>admin@theousrourcepro.com.au</v>
      </c>
    </row>
    <row r="6">
      <c r="B6" s="2" t="str">
        <v>Phone</v>
      </c>
      <c r="C6" s="2" t="str">
        <v>61123456789</v>
      </c>
    </row>
    <row r="7">
      <c r="B7" s="2" t="str">
        <v>Status</v>
      </c>
      <c r="C7" s="2" t="str">
        <v>active</v>
      </c>
    </row>
    <row r="8">
      <c r="B8" s="2" t="str">
        <v>Division</v>
      </c>
      <c r="C8" s="2" t="str">
        <v>ITSM/Helpdesk/Tech Support</v>
      </c>
    </row>
    <row r="9">
      <c r="B9" s="2" t="str">
        <v>Source</v>
      </c>
      <c r="C9" s="2" t="str">
        <v>Job Portals</v>
      </c>
    </row>
    <row r="10">
      <c r="B10" s="2" t="str">
        <v/>
      </c>
      <c r="C10" s="2" t="str">
        <v/>
      </c>
    </row>
    <row r="11">
      <c r="A11" s="6" t="str">
        <v>── Positions ──</v>
      </c>
      <c r="B11" s="6" t="str">
        <v/>
      </c>
      <c r="C11" s="6" t="str">
        <v/>
      </c>
    </row>
    <row r="12">
      <c r="B12" s="2" t="str">
        <v>No positions added yet</v>
      </c>
      <c r="C12" s="2" t="str">
        <v/>
      </c>
    </row>
    <row r="13">
      <c r="B13" s="2" t="str">
        <v/>
      </c>
      <c r="C13" s="2" t="str">
        <v/>
      </c>
    </row>
    <row r="14">
      <c r="A14" s="6" t="str">
        <v>── Engagement Details ──</v>
      </c>
      <c r="B14" s="6" t="str">
        <v/>
      </c>
      <c r="C14" s="6" t="str">
        <v/>
      </c>
    </row>
    <row r="15">
      <c r="B15" s="2" t="str">
        <v>Status</v>
      </c>
      <c r="C15" s="2" t="str">
        <v>No data available</v>
      </c>
    </row>
    <row r="16">
      <c r="B16" s="2" t="str">
        <v/>
      </c>
      <c r="C16" s="2" t="str">
        <v/>
      </c>
    </row>
    <row r="17">
      <c r="A17" s="6" t="str">
        <v>── Engagement Fee Invoice ──</v>
      </c>
      <c r="B17" s="6" t="str">
        <v/>
      </c>
      <c r="C17" s="6" t="str">
        <v/>
      </c>
    </row>
    <row r="18">
      <c r="B18" s="2" t="str">
        <v>Status</v>
      </c>
      <c r="C18" s="2" t="str">
        <v>No data available</v>
      </c>
    </row>
    <row r="19">
      <c r="B19" s="2" t="str">
        <v/>
      </c>
      <c r="C19" s="2" t="str">
        <v/>
      </c>
    </row>
    <row r="20">
      <c r="A20" s="6" t="str">
        <v>── Engagement Signed Letter ──</v>
      </c>
      <c r="B20" s="6" t="str">
        <v/>
      </c>
      <c r="C20" s="6" t="str">
        <v/>
      </c>
    </row>
    <row r="21">
      <c r="B21" s="2" t="str">
        <v>Status</v>
      </c>
      <c r="C21" s="2" t="str">
        <v>No data available</v>
      </c>
    </row>
    <row r="22">
      <c r="B22" s="2" t="str">
        <v/>
      </c>
      <c r="C22" s="2" t="str">
        <v/>
      </c>
    </row>
    <row r="23">
      <c r="A23" s="6" t="str">
        <v>── Engagement Letter Verification ──</v>
      </c>
      <c r="B23" s="6" t="str">
        <v/>
      </c>
      <c r="C23" s="6" t="str">
        <v/>
      </c>
    </row>
    <row r="24">
      <c r="B24" s="2" t="str">
        <v>Status</v>
      </c>
      <c r="C24" s="2" t="str">
        <v>No data available</v>
      </c>
    </row>
    <row r="25">
      <c r="B25" s="2" t="str">
        <v/>
      </c>
      <c r="C25" s="2" t="str">
        <v/>
      </c>
    </row>
  </sheetData>
  <ignoredErrors>
    <ignoredError numberStoredAsText="1" sqref="A1:C2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38.83203125" customWidth="1"/>
    <col min="2" max="2" width="24.83203125" customWidth="1"/>
    <col min="3" max="3" width="34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Tamika Jones</v>
      </c>
    </row>
    <row r="4">
      <c r="B4" s="2" t="str">
        <v>Company</v>
      </c>
      <c r="C4" s="2" t="str">
        <v>Karratha Indoor Golf</v>
      </c>
    </row>
    <row r="5">
      <c r="B5" s="2" t="str">
        <v>Email</v>
      </c>
      <c r="C5" s="2" t="str">
        <v>tamika@karrathaindoorgolf.com.au</v>
      </c>
    </row>
    <row r="6">
      <c r="B6" s="2" t="str">
        <v>Phone</v>
      </c>
      <c r="C6" s="2" t="str">
        <v>610413918808</v>
      </c>
    </row>
    <row r="7">
      <c r="B7" s="2" t="str">
        <v>Status</v>
      </c>
      <c r="C7" s="2" t="str">
        <v>inactive</v>
      </c>
    </row>
    <row r="8">
      <c r="B8" s="2" t="str">
        <v>Division</v>
      </c>
      <c r="C8" s="2" t="str">
        <v>Administration</v>
      </c>
    </row>
    <row r="9">
      <c r="B9" s="2" t="str">
        <v>Source</v>
      </c>
      <c r="C9" s="2" t="str">
        <v>Referral</v>
      </c>
    </row>
    <row r="10">
      <c r="B10" s="2" t="str">
        <v/>
      </c>
      <c r="C10" s="2" t="str">
        <v/>
      </c>
    </row>
    <row r="11">
      <c r="A11" s="6" t="str">
        <v>── Positions ──</v>
      </c>
      <c r="B11" s="6" t="str">
        <v/>
      </c>
      <c r="C11" s="6" t="str">
        <v/>
      </c>
    </row>
    <row r="12">
      <c r="B12" s="2" t="str">
        <v>No positions added yet</v>
      </c>
      <c r="C12" s="2" t="str">
        <v/>
      </c>
    </row>
    <row r="13">
      <c r="B13" s="2" t="str">
        <v/>
      </c>
      <c r="C13" s="2" t="str">
        <v/>
      </c>
    </row>
    <row r="14">
      <c r="A14" s="6" t="str">
        <v>── Engagement Details ──</v>
      </c>
      <c r="B14" s="6" t="str">
        <v/>
      </c>
      <c r="C14" s="6" t="str">
        <v/>
      </c>
    </row>
    <row r="15">
      <c r="B15" s="2" t="str">
        <v>Status</v>
      </c>
      <c r="C15" s="2" t="str">
        <v>No data available</v>
      </c>
    </row>
    <row r="16">
      <c r="B16" s="2" t="str">
        <v/>
      </c>
      <c r="C16" s="2" t="str">
        <v/>
      </c>
    </row>
    <row r="17">
      <c r="A17" s="6" t="str">
        <v>── Engagement Fee Invoice ──</v>
      </c>
      <c r="B17" s="6" t="str">
        <v/>
      </c>
      <c r="C17" s="6" t="str">
        <v/>
      </c>
    </row>
    <row r="18">
      <c r="B18" s="2" t="str">
        <v>Status</v>
      </c>
      <c r="C18" s="2" t="str">
        <v>No data available</v>
      </c>
    </row>
    <row r="19">
      <c r="B19" s="2" t="str">
        <v/>
      </c>
      <c r="C19" s="2" t="str">
        <v/>
      </c>
    </row>
    <row r="20">
      <c r="A20" s="6" t="str">
        <v>── Engagement Signed Letter ──</v>
      </c>
      <c r="B20" s="6" t="str">
        <v/>
      </c>
      <c r="C20" s="6" t="str">
        <v/>
      </c>
    </row>
    <row r="21">
      <c r="B21" s="2" t="str">
        <v>Status</v>
      </c>
      <c r="C21" s="2" t="str">
        <v>No data available</v>
      </c>
    </row>
    <row r="22">
      <c r="B22" s="2" t="str">
        <v/>
      </c>
      <c r="C22" s="2" t="str">
        <v/>
      </c>
    </row>
    <row r="23">
      <c r="A23" s="6" t="str">
        <v>── Engagement Letter Verification ──</v>
      </c>
      <c r="B23" s="6" t="str">
        <v/>
      </c>
      <c r="C23" s="6" t="str">
        <v/>
      </c>
    </row>
    <row r="24">
      <c r="B24" s="2" t="str">
        <v>Status</v>
      </c>
      <c r="C24" s="2" t="str">
        <v>No data available</v>
      </c>
    </row>
    <row r="25">
      <c r="B25" s="2" t="str">
        <v/>
      </c>
      <c r="C25" s="2" t="str">
        <v/>
      </c>
    </row>
  </sheetData>
  <ignoredErrors>
    <ignoredError numberStoredAsText="1" sqref="A1:C2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8.83203125" customWidth="1"/>
    <col min="2" max="2" width="18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Michael Bellsini</v>
      </c>
    </row>
    <row r="4">
      <c r="B4" s="2" t="str">
        <v>Company</v>
      </c>
      <c r="C4" s="2" t="str">
        <v>M&amp;M Accounting Solutions</v>
      </c>
    </row>
    <row r="5">
      <c r="B5" s="2" t="str">
        <v>Email</v>
      </c>
      <c r="C5" s="2" t="str">
        <v>michael@mmasolutions.com.au</v>
      </c>
    </row>
    <row r="6">
      <c r="B6" s="2" t="str">
        <v>Phone</v>
      </c>
      <c r="C6" s="2" t="str">
        <v>610894432899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Unit 8, 375 Charles Street North Perth WA 6006</v>
      </c>
    </row>
    <row r="9">
      <c r="B9" s="2" t="str">
        <v>Division</v>
      </c>
      <c r="C9" s="2" t="str">
        <v>Accounting</v>
      </c>
    </row>
    <row r="10">
      <c r="B10" s="2" t="str">
        <v>Price Estimate</v>
      </c>
      <c r="C10" s="2" t="str">
        <v>2900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Client Info Document ──</v>
      </c>
      <c r="B13" s="6" t="str">
        <v/>
      </c>
      <c r="C13" s="6" t="str">
        <v/>
      </c>
    </row>
    <row r="14">
      <c r="B14" s="2" t="str">
        <v>Abn Acn</v>
      </c>
      <c r="C14" s="2" t="str">
        <v>54539098813</v>
      </c>
    </row>
    <row r="15">
      <c r="B15" s="2" t="str">
        <v>Contact Person</v>
      </c>
      <c r="C15" s="2" t="str">
        <v>Michael Bellsini</v>
      </c>
    </row>
    <row r="16">
      <c r="B16" s="2" t="str">
        <v>Info File Name</v>
      </c>
      <c r="C16" s="2" t="str">
        <v>Client Info Doc.docx</v>
      </c>
    </row>
    <row r="17">
      <c r="B17" s="2" t="str">
        <v>Info File U R L</v>
      </c>
      <c r="C17" s="7" t="str">
        <f>HYPERLINK("https://firebasestorage.googleapis.com/v0/b/toptrack-ad384.firebasestorage.app/o/clients%2FlCmXvfByhdFd8fJVxJnR%2Finfodoc%2FClient%20Info%20Doc.docx?alt=media&amp;token=447b718a-945e-40d6-a7f9-76f8edc3cf9f","Client Info Doc.docx")</f>
        <v>Client Info Doc.docx</v>
      </c>
    </row>
    <row r="18">
      <c r="B18" s="2" t="str">
        <v/>
      </c>
      <c r="C18" s="2" t="str">
        <v/>
      </c>
    </row>
    <row r="19">
      <c r="A19" s="6" t="str">
        <v>── Positions ──</v>
      </c>
      <c r="B19" s="6" t="str">
        <v/>
      </c>
      <c r="C19" s="6" t="str">
        <v/>
      </c>
    </row>
    <row r="20">
      <c r="B20" s="2" t="str">
        <v xml:space="preserve">  Position</v>
      </c>
      <c r="C20" s="2" t="str">
        <v>Associate</v>
      </c>
    </row>
    <row r="21">
      <c r="B21" s="2" t="str">
        <v xml:space="preserve">  Working Hours</v>
      </c>
      <c r="C21" s="2" t="str">
        <v>8:30 AM- 5:30 PM</v>
      </c>
    </row>
    <row r="22">
      <c r="B22" s="2" t="str">
        <v xml:space="preserve">  Salary Range</v>
      </c>
      <c r="C22" s="2" t="str">
        <v>900000</v>
      </c>
    </row>
    <row r="23">
      <c r="B23" s="2" t="str">
        <v xml:space="preserve">  Engagement Fee</v>
      </c>
      <c r="C23" s="2" t="str">
        <v>0</v>
      </c>
    </row>
    <row r="24">
      <c r="B24" s="2" t="str">
        <v/>
      </c>
      <c r="C24" s="2" t="str">
        <v/>
      </c>
    </row>
    <row r="25">
      <c r="A25" s="6" t="str">
        <v>── Engagement Details ──</v>
      </c>
      <c r="B25" s="6" t="str">
        <v/>
      </c>
      <c r="C25" s="6" t="str">
        <v/>
      </c>
    </row>
    <row r="26">
      <c r="B26" s="2" t="str">
        <v>Status</v>
      </c>
      <c r="C26" s="2" t="str">
        <v>No data available</v>
      </c>
    </row>
    <row r="27">
      <c r="B27" s="2" t="str">
        <v/>
      </c>
      <c r="C27" s="2" t="str">
        <v/>
      </c>
    </row>
    <row r="28">
      <c r="A28" s="6" t="str">
        <v>── Engagement Fee Invoice ──</v>
      </c>
      <c r="B28" s="6" t="str">
        <v/>
      </c>
      <c r="C28" s="6" t="str">
        <v/>
      </c>
    </row>
    <row r="29">
      <c r="B29" s="2" t="str">
        <v>Status</v>
      </c>
      <c r="C29" s="2" t="str">
        <v>No data available</v>
      </c>
    </row>
    <row r="30">
      <c r="B30" s="2" t="str">
        <v/>
      </c>
      <c r="C30" s="2" t="str">
        <v/>
      </c>
    </row>
    <row r="31">
      <c r="A31" s="6" t="str">
        <v>── Engagement Signed Letter ──</v>
      </c>
      <c r="B31" s="6" t="str">
        <v/>
      </c>
      <c r="C31" s="6" t="str">
        <v/>
      </c>
    </row>
    <row r="32">
      <c r="B32" s="2" t="str">
        <v>Status</v>
      </c>
      <c r="C32" s="2" t="str">
        <v>No data available</v>
      </c>
    </row>
    <row r="33">
      <c r="B33" s="2" t="str">
        <v/>
      </c>
      <c r="C33" s="2" t="str">
        <v/>
      </c>
    </row>
    <row r="34">
      <c r="A34" s="6" t="str">
        <v>── Engagement Letter Verification ──</v>
      </c>
      <c r="B34" s="6" t="str">
        <v/>
      </c>
      <c r="C34" s="6" t="str">
        <v/>
      </c>
    </row>
    <row r="35">
      <c r="B35" s="2" t="str">
        <v>Status</v>
      </c>
      <c r="C35" s="2" t="str">
        <v>No data available</v>
      </c>
    </row>
    <row r="36">
      <c r="B36" s="2" t="str">
        <v/>
      </c>
      <c r="C36" s="2" t="str">
        <v/>
      </c>
    </row>
  </sheetData>
  <ignoredErrors>
    <ignoredError numberStoredAsText="1" sqref="A1:C3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8.83203125" customWidth="1"/>
    <col min="2" max="2" width="18.83203125" customWidth="1"/>
    <col min="3" max="3" width="39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Martin  Watson</v>
      </c>
    </row>
    <row r="4">
      <c r="B4" s="2" t="str">
        <v>Company</v>
      </c>
      <c r="C4" s="2" t="str">
        <v>Bellwether</v>
      </c>
    </row>
    <row r="5">
      <c r="B5" s="2" t="str">
        <v>Email</v>
      </c>
      <c r="C5" s="2" t="str">
        <v>martin.watson@bellwetherfg.com.au</v>
      </c>
    </row>
    <row r="6">
      <c r="B6" s="2" t="str">
        <v>Phone</v>
      </c>
      <c r="C6" s="2" t="str">
        <v>610892254462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Level 20 Exchange Tower Perth WA 6000</v>
      </c>
    </row>
    <row r="9">
      <c r="B9" s="2" t="str">
        <v>Division</v>
      </c>
      <c r="C9" s="2" t="str">
        <v>Paraplanning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 xml:space="preserve">  Position</v>
      </c>
      <c r="C13" s="2" t="str">
        <v>Paraplanner</v>
      </c>
    </row>
    <row r="14">
      <c r="B14" s="2" t="str">
        <v xml:space="preserve">  Working Hours</v>
      </c>
      <c r="C14" s="2" t="str">
        <v>6:30AM - 3:30 PM</v>
      </c>
    </row>
    <row r="15">
      <c r="B15" s="2" t="str">
        <v xml:space="preserve">  Salary Range</v>
      </c>
      <c r="C15" s="2" t="str">
        <v>9-12 LPA</v>
      </c>
    </row>
    <row r="16">
      <c r="B16" s="2" t="str">
        <v xml:space="preserve">  Engagement Fee</v>
      </c>
      <c r="C16" s="2" t="str">
        <v>2000</v>
      </c>
    </row>
    <row r="17">
      <c r="B17" s="2" t="str">
        <v/>
      </c>
      <c r="C17" s="2" t="str">
        <v/>
      </c>
    </row>
    <row r="18">
      <c r="A18" s="6" t="str">
        <v>── Engagement Details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Fee Invoice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Signed Letter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  <row r="27">
      <c r="A27" s="6" t="str">
        <v>── Engagement Letter Verification ──</v>
      </c>
      <c r="B27" s="6" t="str">
        <v/>
      </c>
      <c r="C27" s="6" t="str">
        <v/>
      </c>
    </row>
    <row r="28">
      <c r="B28" s="2" t="str">
        <v>Status</v>
      </c>
      <c r="C28" s="2" t="str">
        <v>No data available</v>
      </c>
    </row>
    <row r="29">
      <c r="B29" s="2" t="str">
        <v/>
      </c>
      <c r="C29" s="2" t="str">
        <v/>
      </c>
    </row>
  </sheetData>
  <ignoredErrors>
    <ignoredError numberStoredAsText="1" sqref="A1:C2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76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Ann Toomey</v>
      </c>
    </row>
    <row r="4">
      <c r="B4" s="2" t="str">
        <v>Company</v>
      </c>
      <c r="C4" s="2" t="str">
        <v>Fortuna TECH</v>
      </c>
    </row>
    <row r="5">
      <c r="B5" s="2" t="str">
        <v>Email</v>
      </c>
      <c r="C5" s="2" t="str">
        <v>Ann@fortunatech.com.au</v>
      </c>
    </row>
    <row r="6">
      <c r="B6" s="2" t="str">
        <v>Phone</v>
      </c>
      <c r="C6" s="2" t="str">
        <v>610285131600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Suite 11, 2‑4 Northumberland Road ,  Caringbah ,  NSW ,  2229 ,  Australia</v>
      </c>
    </row>
    <row r="9">
      <c r="B9" s="2" t="str">
        <v>Division</v>
      </c>
      <c r="C9" s="2" t="str">
        <v>Bookkeeping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cols>
    <col min="1" max="1" width="38.83203125" customWidth="1"/>
    <col min="2" max="2" width="21.83203125" customWidth="1"/>
    <col min="3" max="3" width="72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Grant  Meyer</v>
      </c>
    </row>
    <row r="4">
      <c r="B4" s="2" t="str">
        <v>Company</v>
      </c>
      <c r="C4" s="2" t="str">
        <v>Everest Business Accountants</v>
      </c>
    </row>
    <row r="5">
      <c r="B5" s="2" t="str">
        <v>Email</v>
      </c>
      <c r="C5" s="2" t="str">
        <v>grant@everestba.com.au</v>
      </c>
    </row>
    <row r="6">
      <c r="B6" s="2" t="str">
        <v>Phone</v>
      </c>
      <c r="C6" s="2" t="str">
        <v>610410034634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Stirling Business Centre, 45 Delawney Street, Balcatta. WA 6021</v>
      </c>
    </row>
    <row r="9">
      <c r="B9" s="2" t="str">
        <v>Division</v>
      </c>
      <c r="C9" s="2" t="str">
        <v>Accounting</v>
      </c>
    </row>
    <row r="10">
      <c r="B10" s="2" t="str">
        <v>Price Estimate</v>
      </c>
      <c r="C10" s="2" t="str">
        <v>2500</v>
      </c>
    </row>
    <row r="11">
      <c r="B11" s="2" t="str">
        <v>Source</v>
      </c>
      <c r="C11" s="2" t="str">
        <v>Trade Shows</v>
      </c>
    </row>
    <row r="12">
      <c r="B12" s="2" t="str">
        <v>Additional Comments</v>
      </c>
      <c r="C12" s="2" t="str">
        <v>NRCPA Event</v>
      </c>
    </row>
    <row r="13">
      <c r="B13" s="2" t="str">
        <v/>
      </c>
      <c r="C13" s="2" t="str">
        <v/>
      </c>
    </row>
    <row r="14">
      <c r="A14" s="6" t="str">
        <v>── Positions ──</v>
      </c>
      <c r="B14" s="6" t="str">
        <v/>
      </c>
      <c r="C14" s="6" t="str">
        <v/>
      </c>
    </row>
    <row r="15">
      <c r="B15" s="2" t="str">
        <v xml:space="preserve">  Position</v>
      </c>
      <c r="C15" s="2" t="str">
        <v>Senior Accountant</v>
      </c>
    </row>
    <row r="16">
      <c r="B16" s="2" t="str">
        <v xml:space="preserve">  Working Hours</v>
      </c>
      <c r="C16" s="2" t="str">
        <v xml:space="preserve">7:30-6:30 </v>
      </c>
    </row>
    <row r="17">
      <c r="B17" s="2" t="str">
        <v xml:space="preserve">  Salary Range</v>
      </c>
      <c r="C17" s="2" t="str">
        <v>7-12 LPA</v>
      </c>
    </row>
    <row r="18">
      <c r="B18" s="2" t="str">
        <v xml:space="preserve">  Engagement Fee</v>
      </c>
      <c r="C18" s="2" t="str">
        <v>2000</v>
      </c>
    </row>
    <row r="19">
      <c r="B19" s="2" t="str">
        <v xml:space="preserve">  Requirements</v>
      </c>
      <c r="C19" s="2" t="str">
        <v>Client wants to pay engagement fee after the candidate is shortlisted.</v>
      </c>
    </row>
    <row r="20">
      <c r="B20" s="2" t="str">
        <v/>
      </c>
      <c r="C20" s="2" t="str">
        <v/>
      </c>
    </row>
    <row r="21">
      <c r="A21" s="6" t="str">
        <v>── Engagement Details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Fee Invoice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  <row r="27">
      <c r="A27" s="6" t="str">
        <v>── Engagement Signed Letter ──</v>
      </c>
      <c r="B27" s="6" t="str">
        <v/>
      </c>
      <c r="C27" s="6" t="str">
        <v/>
      </c>
    </row>
    <row r="28">
      <c r="B28" s="2" t="str">
        <v>Status</v>
      </c>
      <c r="C28" s="2" t="str">
        <v>No data available</v>
      </c>
    </row>
    <row r="29">
      <c r="B29" s="2" t="str">
        <v/>
      </c>
      <c r="C29" s="2" t="str">
        <v/>
      </c>
    </row>
    <row r="30">
      <c r="A30" s="6" t="str">
        <v>── Engagement Letter Verification ──</v>
      </c>
      <c r="B30" s="6" t="str">
        <v/>
      </c>
      <c r="C30" s="6" t="str">
        <v/>
      </c>
    </row>
    <row r="31">
      <c r="B31" s="2" t="str">
        <v>Status</v>
      </c>
      <c r="C31" s="2" t="str">
        <v>No data available</v>
      </c>
    </row>
    <row r="32">
      <c r="B32" s="2" t="str">
        <v/>
      </c>
      <c r="C32" s="2" t="str">
        <v/>
      </c>
    </row>
  </sheetData>
  <ignoredErrors>
    <ignoredError numberStoredAsText="1" sqref="A1:C3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38.83203125" customWidth="1"/>
    <col min="2" max="2" width="18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Michael  Fingereth</v>
      </c>
    </row>
    <row r="4">
      <c r="B4" s="2" t="str">
        <v>Company</v>
      </c>
      <c r="C4" s="2" t="str">
        <v>Fornaro Accountants</v>
      </c>
    </row>
    <row r="5">
      <c r="B5" s="2" t="str">
        <v>Email</v>
      </c>
      <c r="C5" s="2" t="str">
        <v>michael.fingereth@fornaro.com.au</v>
      </c>
    </row>
    <row r="6">
      <c r="B6" s="2" t="str">
        <v>Phone</v>
      </c>
      <c r="C6" s="2" t="str">
        <v>610411241927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208 Constance Street  ·  PO Box 1508  ·  Fortitude Valley QLD 4006</v>
      </c>
    </row>
    <row r="9">
      <c r="B9" s="2" t="str">
        <v>Division</v>
      </c>
      <c r="C9" s="2" t="str">
        <v>Bookkeeping</v>
      </c>
    </row>
    <row r="10">
      <c r="B10" s="2" t="str">
        <v>Price Estimate</v>
      </c>
      <c r="C10" s="2" t="str">
        <v>3600</v>
      </c>
    </row>
    <row r="11">
      <c r="B11" s="2" t="str">
        <v>Source</v>
      </c>
      <c r="C11" s="2" t="str">
        <v>Referral</v>
      </c>
    </row>
    <row r="12">
      <c r="B12" s="2" t="str">
        <v/>
      </c>
      <c r="C12" s="2" t="str">
        <v/>
      </c>
    </row>
    <row r="13">
      <c r="A13" s="6" t="str">
        <v>── Positions ──</v>
      </c>
      <c r="B13" s="6" t="str">
        <v/>
      </c>
      <c r="C13" s="6" t="str">
        <v/>
      </c>
    </row>
    <row r="14">
      <c r="B14" s="2" t="str">
        <v xml:space="preserve">  Position</v>
      </c>
      <c r="C14" s="2" t="str">
        <v>Senior Bookkeeper</v>
      </c>
    </row>
    <row r="15">
      <c r="B15" s="2" t="str">
        <v xml:space="preserve">  Working Hours</v>
      </c>
      <c r="C15" s="2" t="str">
        <v>8:30 AM- 5:30 PM</v>
      </c>
    </row>
    <row r="16">
      <c r="B16" s="2" t="str">
        <v xml:space="preserve">  Salary Range</v>
      </c>
      <c r="C16" s="2" t="str">
        <v>7-10 LPA</v>
      </c>
    </row>
    <row r="17">
      <c r="B17" s="2" t="str">
        <v xml:space="preserve">  Engagement Fee</v>
      </c>
      <c r="C17" s="2" t="str">
        <v>1500</v>
      </c>
    </row>
    <row r="18">
      <c r="B18" s="2" t="str">
        <v/>
      </c>
      <c r="C18" s="2" t="str">
        <v/>
      </c>
    </row>
    <row r="19">
      <c r="A19" s="6" t="str">
        <v>── Engagement Details ──</v>
      </c>
      <c r="B19" s="6" t="str">
        <v/>
      </c>
      <c r="C19" s="6" t="str">
        <v/>
      </c>
    </row>
    <row r="20">
      <c r="B20" s="2" t="str">
        <v>File Url</v>
      </c>
      <c r="C20" s="7" t="str">
        <f>HYPERLINK("https://firebasestorage.googleapis.com/v0/b/toptrack-ad384.firebasestorage.app/o/engagement_letters%2FwE3wn1ygEdYH9zaAW85b%2FTOP%20Engagement%20Letter-%20Fornaro%20Accountants..pdf?alt=media&amp;token=aac7a73e-746a-4907-8115-72887c504df0","TOP Engagement Letter- Fornaro Accountants..pdf")</f>
        <v>TOP Engagement Letter- Fornaro Accountants..pdf</v>
      </c>
    </row>
    <row r="21">
      <c r="B21" s="2" t="str">
        <v>Uploaded At</v>
      </c>
      <c r="C21" s="2" t="str">
        <v>2026-01-29T17:39:50.516Z</v>
      </c>
    </row>
    <row r="22">
      <c r="B22" s="2" t="str">
        <v>File Name</v>
      </c>
      <c r="C22" s="2" t="str">
        <v>TOP Engagement Letter- Fornaro Accountants..pdf</v>
      </c>
    </row>
    <row r="23">
      <c r="B23" s="2" t="str">
        <v/>
      </c>
      <c r="C23" s="2" t="str">
        <v/>
      </c>
    </row>
    <row r="24">
      <c r="A24" s="6" t="str">
        <v>── Engagement Fee Invoice ──</v>
      </c>
      <c r="B24" s="6" t="str">
        <v/>
      </c>
      <c r="C24" s="6" t="str">
        <v/>
      </c>
    </row>
    <row r="25">
      <c r="B25" s="2" t="str">
        <v>File Url</v>
      </c>
      <c r="C25" s="7" t="str">
        <f>HYPERLINK("https://firebasestorage.googleapis.com/v0/b/toptrack-ad384.firebasestorage.app/o/engagement_fee_invoices%2FwE3wn1ygEdYH9zaAW85b%2FInvoice%20INV-0788%20(1)%20(1).pdf?alt=media&amp;token=4014eae5-3a05-46ae-a144-eef0f15aa6b9","Invoice INV-0788 (1) (1).pdf")</f>
        <v>Invoice INV-0788 (1) (1).pdf</v>
      </c>
    </row>
    <row r="26">
      <c r="B26" s="2" t="str">
        <v>File Name</v>
      </c>
      <c r="C26" s="2" t="str">
        <v>Invoice INV-0788 (1) (1).pdf</v>
      </c>
    </row>
    <row r="27">
      <c r="B27" s="2" t="str">
        <v>Uploaded At</v>
      </c>
      <c r="C27" s="2" t="str">
        <v>2026-01-29T17:40:37.415Z</v>
      </c>
    </row>
    <row r="28">
      <c r="B28" s="2" t="str">
        <v>Engagement Date</v>
      </c>
      <c r="C28" s="2" t="str">
        <v>2025-04-23</v>
      </c>
    </row>
    <row r="29">
      <c r="B29" s="2" t="str">
        <v/>
      </c>
      <c r="C29" s="2" t="str">
        <v/>
      </c>
    </row>
    <row r="30">
      <c r="A30" s="6" t="str">
        <v>── Engagement Signed Letter ──</v>
      </c>
      <c r="B30" s="6" t="str">
        <v/>
      </c>
      <c r="C30" s="6" t="str">
        <v/>
      </c>
    </row>
    <row r="31">
      <c r="B31" s="2" t="str">
        <v>Invoice Paid</v>
      </c>
      <c r="C31" s="2" t="str">
        <v>Yes</v>
      </c>
    </row>
    <row r="32">
      <c r="B32" s="2" t="str">
        <v>File Url</v>
      </c>
      <c r="C32" s="7" t="str">
        <f>HYPERLINK("https://firebasestorage.googleapis.com/v0/b/toptrack-ad384.firebasestorage.app/o/signed_engagement_letters%2FwE3wn1ygEdYH9zaAW85b%2FTOP%20Engagement%20Letter-%20Fornaro%20Accountants..pdf?alt=media&amp;token=f3c70c14-d268-4f44-8d06-d797f3917a42","TOP Engagement Letter- Fornaro Accountants..pdf")</f>
        <v>TOP Engagement Letter- Fornaro Accountants..pdf</v>
      </c>
    </row>
    <row r="33">
      <c r="B33" s="2" t="str">
        <v>File Name</v>
      </c>
      <c r="C33" s="2" t="str">
        <v>TOP Engagement Letter- Fornaro Accountants..pdf</v>
      </c>
    </row>
    <row r="34">
      <c r="B34" s="2" t="str">
        <v>Uploaded At</v>
      </c>
      <c r="C34" s="2" t="str">
        <v>2026-01-29T17:40:55.679Z</v>
      </c>
    </row>
    <row r="35">
      <c r="B35" s="2" t="str">
        <v/>
      </c>
      <c r="C35" s="2" t="str">
        <v/>
      </c>
    </row>
    <row r="36">
      <c r="A36" s="6" t="str">
        <v>── Engagement Letter Verification ──</v>
      </c>
      <c r="B36" s="6" t="str">
        <v/>
      </c>
      <c r="C36" s="6" t="str">
        <v/>
      </c>
    </row>
    <row r="37">
      <c r="B37" s="2" t="str">
        <v>Engagement Sent</v>
      </c>
      <c r="C37" s="2" t="str">
        <v>Yes</v>
      </c>
    </row>
    <row r="38">
      <c r="B38" s="2" t="str">
        <v>Invoice Sent</v>
      </c>
      <c r="C38" s="2" t="str">
        <v>Yes</v>
      </c>
    </row>
    <row r="39">
      <c r="B39" s="2" t="str">
        <v/>
      </c>
      <c r="C39" s="2" t="str">
        <v/>
      </c>
    </row>
  </sheetData>
  <ignoredErrors>
    <ignoredError numberStoredAsText="1" sqref="A1:C3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8.83203125" customWidth="1"/>
    <col min="2" max="2" width="24.83203125" customWidth="1"/>
    <col min="3" max="3" width="8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TOP  Job By Job</v>
      </c>
    </row>
    <row r="4">
      <c r="B4" s="2" t="str">
        <v>Company</v>
      </c>
      <c r="C4" s="2" t="str">
        <v>The Outsource Pro</v>
      </c>
    </row>
    <row r="5">
      <c r="B5" s="2" t="str">
        <v>Email</v>
      </c>
      <c r="C5" s="2" t="str">
        <v>admin@theoutsourcepro.com.au</v>
      </c>
    </row>
    <row r="6">
      <c r="B6" s="2" t="str">
        <v>Phone</v>
      </c>
      <c r="C6" s="2" t="str">
        <v>916283289832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Indiqube Alpha, 3rd Floor, A Wing, Marathahalli Panathur Junction, Plot No.19/4 27, Outer Ring Rd, Kadubeesanahalli, Panathur, Bengaluru, Karnataka 560103</v>
      </c>
    </row>
    <row r="9">
      <c r="B9" s="2" t="str">
        <v/>
      </c>
      <c r="C9" s="2" t="str">
        <v/>
      </c>
    </row>
    <row r="10">
      <c r="A10" s="6" t="str">
        <v>── Positions ──</v>
      </c>
      <c r="B10" s="6" t="str">
        <v/>
      </c>
      <c r="C10" s="6" t="str">
        <v/>
      </c>
    </row>
    <row r="11">
      <c r="B11" s="2" t="str">
        <v>No positions added yet</v>
      </c>
      <c r="C11" s="2" t="str">
        <v/>
      </c>
    </row>
    <row r="12">
      <c r="B12" s="2" t="str">
        <v/>
      </c>
      <c r="C12" s="2" t="str">
        <v/>
      </c>
    </row>
    <row r="13">
      <c r="A13" s="6" t="str">
        <v>── Engagement Details ──</v>
      </c>
      <c r="B13" s="6" t="str">
        <v/>
      </c>
      <c r="C13" s="6" t="str">
        <v/>
      </c>
    </row>
    <row r="14">
      <c r="B14" s="2" t="str">
        <v>Status</v>
      </c>
      <c r="C14" s="2" t="str">
        <v>No data available</v>
      </c>
    </row>
    <row r="15">
      <c r="B15" s="2" t="str">
        <v/>
      </c>
      <c r="C15" s="2" t="str">
        <v/>
      </c>
    </row>
    <row r="16">
      <c r="A16" s="6" t="str">
        <v>── Engagement Fee Invoice ──</v>
      </c>
      <c r="B16" s="6" t="str">
        <v/>
      </c>
      <c r="C16" s="6" t="str">
        <v/>
      </c>
    </row>
    <row r="17">
      <c r="B17" s="2" t="str">
        <v>Status</v>
      </c>
      <c r="C17" s="2" t="str">
        <v>No data available</v>
      </c>
    </row>
    <row r="18">
      <c r="B18" s="2" t="str">
        <v/>
      </c>
      <c r="C18" s="2" t="str">
        <v/>
      </c>
    </row>
    <row r="19">
      <c r="A19" s="6" t="str">
        <v>── Engagement Signed Letter ──</v>
      </c>
      <c r="B19" s="6" t="str">
        <v/>
      </c>
      <c r="C19" s="6" t="str">
        <v/>
      </c>
    </row>
    <row r="20">
      <c r="B20" s="2" t="str">
        <v>Status</v>
      </c>
      <c r="C20" s="2" t="str">
        <v>No data available</v>
      </c>
    </row>
    <row r="21">
      <c r="B21" s="2" t="str">
        <v/>
      </c>
      <c r="C21" s="2" t="str">
        <v/>
      </c>
    </row>
    <row r="22">
      <c r="A22" s="6" t="str">
        <v>── Engagement Letter Verification ──</v>
      </c>
      <c r="B22" s="6" t="str">
        <v/>
      </c>
      <c r="C22" s="6" t="str">
        <v/>
      </c>
    </row>
    <row r="23">
      <c r="B23" s="2" t="str">
        <v>Status</v>
      </c>
      <c r="C23" s="2" t="str">
        <v>No data available</v>
      </c>
    </row>
    <row r="24">
      <c r="B24" s="2" t="str">
        <v/>
      </c>
      <c r="C24" s="2" t="str">
        <v/>
      </c>
    </row>
  </sheetData>
  <ignoredErrors>
    <ignoredError numberStoredAsText="1" sqref="A1:C24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43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Katie Sluka</v>
      </c>
    </row>
    <row r="4">
      <c r="B4" s="2" t="str">
        <v>Company</v>
      </c>
      <c r="C4" s="2" t="str">
        <v>DC&amp;C</v>
      </c>
    </row>
    <row r="5">
      <c r="B5" s="2" t="str">
        <v>Email</v>
      </c>
      <c r="C5" s="2" t="str">
        <v>katies@dccca.com.au</v>
      </c>
    </row>
    <row r="6">
      <c r="B6" s="2" t="str">
        <v>Phone</v>
      </c>
      <c r="C6" s="2" t="str">
        <v>6189964480</v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Unit 3/125 Flores Road, Geraldton WA 6530</v>
      </c>
    </row>
    <row r="9">
      <c r="B9" s="2" t="str">
        <v>Division</v>
      </c>
      <c r="C9" s="2" t="str">
        <v>Accounting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8.83203125" customWidth="1"/>
    <col min="2" max="2" width="24.83203125" customWidth="1"/>
    <col min="3" max="3" width="44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Sian Ferraz</v>
      </c>
    </row>
    <row r="4">
      <c r="B4" s="2" t="str">
        <v>Company</v>
      </c>
      <c r="C4" s="2" t="str">
        <v>Fortuna Advisory Group</v>
      </c>
    </row>
    <row r="5">
      <c r="B5" s="2" t="str">
        <v>Email</v>
      </c>
      <c r="C5" s="2" t="str">
        <v>sian@fortunaadvisors.com.au</v>
      </c>
    </row>
    <row r="6">
      <c r="B6" s="2" t="str">
        <v>Phone</v>
      </c>
      <c r="C6" s="2" t="str">
        <v/>
      </c>
    </row>
    <row r="7">
      <c r="B7" s="2" t="str">
        <v>Status</v>
      </c>
      <c r="C7" s="2" t="str">
        <v>active</v>
      </c>
    </row>
    <row r="8">
      <c r="B8" s="2" t="str">
        <v>Address</v>
      </c>
      <c r="C8" s="2" t="str">
        <v>Level 1, 147 Colin Street, West Perth 6005</v>
      </c>
    </row>
    <row r="9">
      <c r="B9" s="2" t="str">
        <v>Division</v>
      </c>
      <c r="C9" s="2" t="str">
        <v>Accounting</v>
      </c>
    </row>
    <row r="10">
      <c r="B10" s="2" t="str">
        <v>Source</v>
      </c>
      <c r="C10" s="2" t="str">
        <v>Referral</v>
      </c>
    </row>
    <row r="11">
      <c r="B11" s="2" t="str">
        <v/>
      </c>
      <c r="C11" s="2" t="str">
        <v/>
      </c>
    </row>
    <row r="12">
      <c r="A12" s="6" t="str">
        <v>── Positions ──</v>
      </c>
      <c r="B12" s="6" t="str">
        <v/>
      </c>
      <c r="C12" s="6" t="str">
        <v/>
      </c>
    </row>
    <row r="13">
      <c r="B13" s="2" t="str">
        <v>No positions added yet</v>
      </c>
      <c r="C13" s="2" t="str">
        <v/>
      </c>
    </row>
    <row r="14">
      <c r="B14" s="2" t="str">
        <v/>
      </c>
      <c r="C14" s="2" t="str">
        <v/>
      </c>
    </row>
    <row r="15">
      <c r="A15" s="6" t="str">
        <v>── Engagement Details ──</v>
      </c>
      <c r="B15" s="6" t="str">
        <v/>
      </c>
      <c r="C15" s="6" t="str">
        <v/>
      </c>
    </row>
    <row r="16">
      <c r="B16" s="2" t="str">
        <v>Status</v>
      </c>
      <c r="C16" s="2" t="str">
        <v>No data available</v>
      </c>
    </row>
    <row r="17">
      <c r="B17" s="2" t="str">
        <v/>
      </c>
      <c r="C17" s="2" t="str">
        <v/>
      </c>
    </row>
    <row r="18">
      <c r="A18" s="6" t="str">
        <v>── Engagement Fee Invoice ──</v>
      </c>
      <c r="B18" s="6" t="str">
        <v/>
      </c>
      <c r="C18" s="6" t="str">
        <v/>
      </c>
    </row>
    <row r="19">
      <c r="B19" s="2" t="str">
        <v>Status</v>
      </c>
      <c r="C19" s="2" t="str">
        <v>No data available</v>
      </c>
    </row>
    <row r="20">
      <c r="B20" s="2" t="str">
        <v/>
      </c>
      <c r="C20" s="2" t="str">
        <v/>
      </c>
    </row>
    <row r="21">
      <c r="A21" s="6" t="str">
        <v>── Engagement Signed Letter ──</v>
      </c>
      <c r="B21" s="6" t="str">
        <v/>
      </c>
      <c r="C21" s="6" t="str">
        <v/>
      </c>
    </row>
    <row r="22">
      <c r="B22" s="2" t="str">
        <v>Status</v>
      </c>
      <c r="C22" s="2" t="str">
        <v>No data available</v>
      </c>
    </row>
    <row r="23">
      <c r="B23" s="2" t="str">
        <v/>
      </c>
      <c r="C23" s="2" t="str">
        <v/>
      </c>
    </row>
    <row r="24">
      <c r="A24" s="6" t="str">
        <v>── Engagement Letter Verification ──</v>
      </c>
      <c r="B24" s="6" t="str">
        <v/>
      </c>
      <c r="C24" s="6" t="str">
        <v/>
      </c>
    </row>
    <row r="25">
      <c r="B25" s="2" t="str">
        <v>Status</v>
      </c>
      <c r="C25" s="2" t="str">
        <v>No data available</v>
      </c>
    </row>
    <row r="26">
      <c r="B26" s="2" t="str">
        <v/>
      </c>
      <c r="C26" s="2" t="str">
        <v/>
      </c>
    </row>
  </sheetData>
  <ignoredErrors>
    <ignoredError numberStoredAsText="1" sqref="A1:C26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8.83203125" customWidth="1"/>
    <col min="2" max="2" width="24.83203125" customWidth="1"/>
    <col min="3" max="3" width="30.83203125" customWidth="1"/>
  </cols>
  <sheetData>
    <row r="1">
      <c r="A1" s="4" t="str">
        <v/>
      </c>
      <c r="B1" s="4" t="str">
        <v>Field</v>
      </c>
      <c r="C1" s="4" t="str">
        <v>Value</v>
      </c>
    </row>
    <row r="2">
      <c r="A2" s="6" t="str">
        <v>── Client Info ──</v>
      </c>
      <c r="B2" s="6" t="str">
        <v/>
      </c>
      <c r="C2" s="6" t="str">
        <v/>
      </c>
    </row>
    <row r="3">
      <c r="B3" s="2" t="str">
        <v>Name</v>
      </c>
      <c r="C3" s="2" t="str">
        <v>Vaibhav Aggarwal</v>
      </c>
    </row>
    <row r="4">
      <c r="B4" s="2" t="str">
        <v>Company</v>
      </c>
      <c r="C4" s="2" t="str">
        <v>adobe</v>
      </c>
    </row>
    <row r="5">
      <c r="B5" s="2" t="str">
        <v>Email</v>
      </c>
      <c r="C5" s="2" t="str">
        <v>er.vaibhavaggarwal@gmail.com</v>
      </c>
    </row>
    <row r="6">
      <c r="B6" s="2" t="str">
        <v>Phone</v>
      </c>
      <c r="C6" s="2" t="str">
        <v/>
      </c>
    </row>
    <row r="7">
      <c r="B7" s="2" t="str">
        <v>Status</v>
      </c>
      <c r="C7" s="2" t="str">
        <v>inactive</v>
      </c>
    </row>
    <row r="8">
      <c r="B8" s="2" t="str">
        <v>Address</v>
      </c>
      <c r="C8" s="2" t="str">
        <v>C204</v>
      </c>
    </row>
    <row r="9">
      <c r="B9" s="2" t="str">
        <v/>
      </c>
      <c r="C9" s="2" t="str">
        <v/>
      </c>
    </row>
    <row r="10">
      <c r="A10" s="6" t="str">
        <v>── Positions ──</v>
      </c>
      <c r="B10" s="6" t="str">
        <v/>
      </c>
      <c r="C10" s="6" t="str">
        <v/>
      </c>
    </row>
    <row r="11">
      <c r="B11" s="2" t="str">
        <v>No positions added yet</v>
      </c>
      <c r="C11" s="2" t="str">
        <v/>
      </c>
    </row>
    <row r="12">
      <c r="B12" s="2" t="str">
        <v/>
      </c>
      <c r="C12" s="2" t="str">
        <v/>
      </c>
    </row>
    <row r="13">
      <c r="A13" s="6" t="str">
        <v>── Engagement Details ──</v>
      </c>
      <c r="B13" s="6" t="str">
        <v/>
      </c>
      <c r="C13" s="6" t="str">
        <v/>
      </c>
    </row>
    <row r="14">
      <c r="B14" s="2" t="str">
        <v>Status</v>
      </c>
      <c r="C14" s="2" t="str">
        <v>No data available</v>
      </c>
    </row>
    <row r="15">
      <c r="B15" s="2" t="str">
        <v/>
      </c>
      <c r="C15" s="2" t="str">
        <v/>
      </c>
    </row>
    <row r="16">
      <c r="A16" s="6" t="str">
        <v>── Engagement Fee Invoice ──</v>
      </c>
      <c r="B16" s="6" t="str">
        <v/>
      </c>
      <c r="C16" s="6" t="str">
        <v/>
      </c>
    </row>
    <row r="17">
      <c r="B17" s="2" t="str">
        <v>Status</v>
      </c>
      <c r="C17" s="2" t="str">
        <v>No data available</v>
      </c>
    </row>
    <row r="18">
      <c r="B18" s="2" t="str">
        <v/>
      </c>
      <c r="C18" s="2" t="str">
        <v/>
      </c>
    </row>
    <row r="19">
      <c r="A19" s="6" t="str">
        <v>── Engagement Signed Letter ──</v>
      </c>
      <c r="B19" s="6" t="str">
        <v/>
      </c>
      <c r="C19" s="6" t="str">
        <v/>
      </c>
    </row>
    <row r="20">
      <c r="B20" s="2" t="str">
        <v>Status</v>
      </c>
      <c r="C20" s="2" t="str">
        <v>No data available</v>
      </c>
    </row>
    <row r="21">
      <c r="B21" s="2" t="str">
        <v/>
      </c>
      <c r="C21" s="2" t="str">
        <v/>
      </c>
    </row>
    <row r="22">
      <c r="A22" s="6" t="str">
        <v>── Engagement Letter Verification ──</v>
      </c>
      <c r="B22" s="6" t="str">
        <v/>
      </c>
      <c r="C22" s="6" t="str">
        <v/>
      </c>
    </row>
    <row r="23">
      <c r="B23" s="2" t="str">
        <v>Status</v>
      </c>
      <c r="C23" s="2" t="str">
        <v>No data available</v>
      </c>
    </row>
    <row r="24">
      <c r="B24" s="2" t="str">
        <v/>
      </c>
      <c r="C24" s="2" t="str">
        <v/>
      </c>
    </row>
  </sheetData>
  <ignoredErrors>
    <ignoredError numberStoredAsText="1" sqref="A1:C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All Clients</vt:lpstr>
      <vt:lpstr>Tim Cooper</vt:lpstr>
      <vt:lpstr>Nitin vashisht</vt:lpstr>
      <vt:lpstr>Melvyn  Gilbert</vt:lpstr>
      <vt:lpstr>Tanu Sopori</vt:lpstr>
      <vt:lpstr>PANNKAJ  SINGLLA</vt:lpstr>
      <vt:lpstr>Tara Petering</vt:lpstr>
      <vt:lpstr>Robert  Krachler</vt:lpstr>
      <vt:lpstr>TOP  Internal</vt:lpstr>
      <vt:lpstr>Richard Howen</vt:lpstr>
      <vt:lpstr>Rowan Ellery</vt:lpstr>
      <vt:lpstr>John  Shingleton</vt:lpstr>
      <vt:lpstr>Arthiga  Sasiharan</vt:lpstr>
      <vt:lpstr>Mili Aggarwal</vt:lpstr>
      <vt:lpstr>Garth Krasisnski</vt:lpstr>
      <vt:lpstr>Wade Dowden</vt:lpstr>
      <vt:lpstr>Jaycob  Moriarty</vt:lpstr>
      <vt:lpstr>Harpal Singh</vt:lpstr>
      <vt:lpstr>Rao  Damaraju</vt:lpstr>
      <vt:lpstr>Glenn Beall</vt:lpstr>
      <vt:lpstr>Vijitha Rachankumar</vt:lpstr>
      <vt:lpstr>Jan  de Bruto</vt:lpstr>
      <vt:lpstr>TOP IT Team</vt:lpstr>
      <vt:lpstr>Tamika Jones</vt:lpstr>
      <vt:lpstr>Michael Bellsini</vt:lpstr>
      <vt:lpstr>Martin  Watson</vt:lpstr>
      <vt:lpstr>Ann Toomey</vt:lpstr>
      <vt:lpstr>Grant  Meyer</vt:lpstr>
      <vt:lpstr>Michael  Fingereth</vt:lpstr>
      <vt:lpstr>TOP  Job By Job</vt:lpstr>
      <vt:lpstr>Katie Sluka</vt:lpstr>
      <vt:lpstr>Sian Ferraz</vt:lpstr>
      <vt:lpstr>Vaibhav Aggarwal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